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leaned Data" sheetId="2" state="visible" r:id="rId4"/>
    <sheet name="3. Analysis" sheetId="3" state="visible" r:id="rId5"/>
    <sheet name="4.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<sst xmlns="http://schemas.openxmlformats.org/spreadsheetml/2006/main" count="202" uniqueCount="123">
  <si>
    <t xml:space="preserve">Source: National Bureau of Statistics (NBS) Nigeria — Consumer Price Index Reports 2022–2024  |  nigerianstat.gov.ng</t>
  </si>
  <si>
    <t xml:space="preserve">Month</t>
  </si>
  <si>
    <t xml:space="preserve">Year</t>
  </si>
  <si>
    <t xml:space="preserve">Period</t>
  </si>
  <si>
    <t xml:space="preserve">Headline Inflation (YoY %)</t>
  </si>
  <si>
    <t xml:space="preserve">Food Inflation (YoY %)</t>
  </si>
  <si>
    <t xml:space="preserve">Core Inflation (YoY %)</t>
  </si>
  <si>
    <t xml:space="preserve">Urban Inflation (YoY %)</t>
  </si>
  <si>
    <t xml:space="preserve">Rural Inflation (YoY %)</t>
  </si>
  <si>
    <t xml:space="preserve">MoM Change (%)</t>
  </si>
  <si>
    <t xml:space="preserve">Food &amp; Non-Alcoholic Bev.</t>
  </si>
  <si>
    <t xml:space="preserve">Housing/Water/Electricity</t>
  </si>
  <si>
    <t xml:space="preserve">Transport</t>
  </si>
  <si>
    <t xml:space="preserve">Clothing &amp; Footwear</t>
  </si>
  <si>
    <t xml:space="preserve">Education</t>
  </si>
  <si>
    <t xml:space="preserve">January</t>
  </si>
  <si>
    <t xml:space="preserve">Jan-22</t>
  </si>
  <si>
    <t xml:space="preserve">February</t>
  </si>
  <si>
    <t xml:space="preserve">Feb-22</t>
  </si>
  <si>
    <t xml:space="preserve">March</t>
  </si>
  <si>
    <t xml:space="preserve">Mar-22</t>
  </si>
  <si>
    <t xml:space="preserve">April</t>
  </si>
  <si>
    <t xml:space="preserve">Apr-22</t>
  </si>
  <si>
    <t xml:space="preserve">May</t>
  </si>
  <si>
    <t xml:space="preserve">May-22</t>
  </si>
  <si>
    <t xml:space="preserve">June</t>
  </si>
  <si>
    <t xml:space="preserve">Jun-22</t>
  </si>
  <si>
    <t xml:space="preserve">July</t>
  </si>
  <si>
    <t xml:space="preserve">Jul-22</t>
  </si>
  <si>
    <t xml:space="preserve">August</t>
  </si>
  <si>
    <t xml:space="preserve">Aug-22</t>
  </si>
  <si>
    <t xml:space="preserve">September</t>
  </si>
  <si>
    <t xml:space="preserve">Sep-22</t>
  </si>
  <si>
    <t xml:space="preserve">October</t>
  </si>
  <si>
    <t xml:space="preserve">Oct-22</t>
  </si>
  <si>
    <t xml:space="preserve">November</t>
  </si>
  <si>
    <t xml:space="preserve">Nov-22</t>
  </si>
  <si>
    <t xml:space="preserve">December</t>
  </si>
  <si>
    <t xml:space="preserve">Dec-22</t>
  </si>
  <si>
    <t xml:space="preserve">Jan-23</t>
  </si>
  <si>
    <t xml:space="preserve">Feb-23</t>
  </si>
  <si>
    <t xml:space="preserve">Mar-23</t>
  </si>
  <si>
    <t xml:space="preserve">Apr-23</t>
  </si>
  <si>
    <t xml:space="preserve">May-23</t>
  </si>
  <si>
    <t xml:space="preserve">Jun-23</t>
  </si>
  <si>
    <t xml:space="preserve">Jul-23</t>
  </si>
  <si>
    <t xml:space="preserve">Aug-23</t>
  </si>
  <si>
    <t xml:space="preserve">Sep-23</t>
  </si>
  <si>
    <t xml:space="preserve">Oct-23</t>
  </si>
  <si>
    <t xml:space="preserve">Nov-23</t>
  </si>
  <si>
    <t xml:space="preserve">Dec-23</t>
  </si>
  <si>
    <t xml:space="preserve">Jan-24</t>
  </si>
  <si>
    <t xml:space="preserve">Feb-24</t>
  </si>
  <si>
    <t xml:space="preserve">Mar-24</t>
  </si>
  <si>
    <t xml:space="preserve">Apr-24</t>
  </si>
  <si>
    <t xml:space="preserve">May-24</t>
  </si>
  <si>
    <t xml:space="preserve">Jun-24</t>
  </si>
  <si>
    <t xml:space="preserve">Jul-24</t>
  </si>
  <si>
    <t xml:space="preserve">Aug-24</t>
  </si>
  <si>
    <t xml:space="preserve">Sep-24</t>
  </si>
  <si>
    <t xml:space="preserve">Oct-24</t>
  </si>
  <si>
    <t xml:space="preserve">Nov-24</t>
  </si>
  <si>
    <t xml:space="preserve">Dec-24</t>
  </si>
  <si>
    <t xml:space="preserve">CLEANED DATA &amp; COMPUTED METRICS</t>
  </si>
  <si>
    <t xml:space="preserve">Derived from Raw Data sheet  |  All percentage values as decimals  |  MoM Acceleration = Current MoM minus Previous MoM</t>
  </si>
  <si>
    <t xml:space="preserve">Headline (YoY)</t>
  </si>
  <si>
    <t xml:space="preserve">Food (YoY)</t>
  </si>
  <si>
    <t xml:space="preserve">Core (YoY)</t>
  </si>
  <si>
    <t xml:space="preserve">MoM Change</t>
  </si>
  <si>
    <t xml:space="preserve">Food-Core Gap</t>
  </si>
  <si>
    <t xml:space="preserve">YoY Change (Acceleration)</t>
  </si>
  <si>
    <t xml:space="preserve">Urban-Rural Gap</t>
  </si>
  <si>
    <t xml:space="preserve">Inflation Category</t>
  </si>
  <si>
    <t xml:space="preserve">N/A</t>
  </si>
  <si>
    <t xml:space="preserve">TABLE 1: Annual Average Inflation Rates (2022–2024)</t>
  </si>
  <si>
    <t xml:space="preserve">Avg Headline</t>
  </si>
  <si>
    <t xml:space="preserve">Avg Food</t>
  </si>
  <si>
    <t xml:space="preserve">Avg Core</t>
  </si>
  <si>
    <t xml:space="preserve">Avg Urban</t>
  </si>
  <si>
    <t xml:space="preserve">Avg Rural</t>
  </si>
  <si>
    <t xml:space="preserve">TABLE 2: Inflation Peaks &amp; Troughs (Full Period)</t>
  </si>
  <si>
    <t xml:space="preserve">Metric</t>
  </si>
  <si>
    <t xml:space="preserve">Peak Value</t>
  </si>
  <si>
    <t xml:space="preserve">Peak Period</t>
  </si>
  <si>
    <t xml:space="preserve">Min Value</t>
  </si>
  <si>
    <t xml:space="preserve">Min Period</t>
  </si>
  <si>
    <t xml:space="preserve">Headline Inflation</t>
  </si>
  <si>
    <t xml:space="preserve">Food Inflation</t>
  </si>
  <si>
    <t xml:space="preserve">Core Inflation</t>
  </si>
  <si>
    <t xml:space="preserve">TABLE 3: Average Inflation by COICOP Category (2022–2024)</t>
  </si>
  <si>
    <t xml:space="preserve">COICOP Category</t>
  </si>
  <si>
    <t xml:space="preserve">Average Rate</t>
  </si>
  <si>
    <t xml:space="preserve">% of Headline Avg</t>
  </si>
  <si>
    <t xml:space="preserve">Food &amp; Non-Alcoholic Beverages</t>
  </si>
  <si>
    <t xml:space="preserve">Housing, Water &amp; Electricity</t>
  </si>
  <si>
    <t xml:space="preserve">KEY FINDINGS</t>
  </si>
  <si>
    <t xml:space="preserve">1. Nigeria's headline inflation rose from 15.6% (Jan 2022) to a peak of 34.8% (Dec 2024) — a 19.2 percentage point increase over 3 years.</t>
  </si>
  <si>
    <t xml:space="preserve">2. Food inflation consistently outpaced headline inflation by ~6–7 pp, indicating food supply constraints as a primary driver.</t>
  </si>
  <si>
    <t xml:space="preserve">3. The steepest acceleration occurred in mid-2023 following fuel subsidy removal, with MoM jumps exceeding 3%.</t>
  </si>
  <si>
    <t xml:space="preserve">4. Core inflation (non-food, non-energy) also surged, suggesting broad-based price pressures beyond food and fuel alone.</t>
  </si>
  <si>
    <t xml:space="preserve">5. Urban inflation consistently exceeded rural inflation, reflecting higher exposure to import-driven and energy-related price increases.</t>
  </si>
  <si>
    <t xml:space="preserve">6. Q4 2024 showed signs of slight moderation in food inflation, though headline rates remained at historically high levels.</t>
  </si>
  <si>
    <t xml:space="preserve">🇳🇬  NIGERIA INFLATION TRACKER  |  2022 – 2024  |  Source: National Bureau of Statistics</t>
  </si>
  <si>
    <t xml:space="preserve">Headline</t>
  </si>
  <si>
    <t xml:space="preserve">Food</t>
  </si>
  <si>
    <t xml:space="preserve">Core</t>
  </si>
  <si>
    <t xml:space="preserve">2022</t>
  </si>
  <si>
    <t xml:space="preserve">Peak Headline</t>
  </si>
  <si>
    <t xml:space="preserve">Latest (Dec 24)</t>
  </si>
  <si>
    <t xml:space="preserve">Peak Food Infl.</t>
  </si>
  <si>
    <t xml:space="preserve">3yr Avg Headline</t>
  </si>
  <si>
    <t xml:space="preserve">Avg MoM Change</t>
  </si>
  <si>
    <t xml:space="preserve">2023</t>
  </si>
  <si>
    <t xml:space="preserve">34.80%</t>
  </si>
  <si>
    <t xml:space="preserve">40.01%</t>
  </si>
  <si>
    <t xml:space="preserve">26.34%</t>
  </si>
  <si>
    <t xml:space="preserve">2.14%</t>
  </si>
  <si>
    <t xml:space="preserve">2024</t>
  </si>
  <si>
    <t xml:space="preserve">Oct–Dec 2024</t>
  </si>
  <si>
    <t xml:space="preserve">Dec 2024</t>
  </si>
  <si>
    <t xml:space="preserve">Mar 2024</t>
  </si>
  <si>
    <t xml:space="preserve">Jan 2022–Dec 2024</t>
  </si>
  <si>
    <t xml:space="preserve">Monthly avg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</si>
</sst>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%"/>
    <numFmt numFmtId="167" formatCode="0.0%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8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18"/>
      <color rgb="FF1A5276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2F3F4"/>
        <bgColor rgb="FFF9F9F9"/>
      </patternFill>
    </fill>
    <fill>
      <patternFill patternType="solid">
        <fgColor rgb="FF1A5276"/>
        <bgColor rgb="FF444444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9F9F9"/>
      </patternFill>
    </fill>
    <fill>
      <patternFill patternType="solid">
        <fgColor rgb="FF2980B9"/>
        <bgColor rgb="FF0066CC"/>
      </patternFill>
    </fill>
    <fill>
      <patternFill patternType="solid">
        <fgColor rgb="FFD5F5E3"/>
        <bgColor rgb="FFD6EAF8"/>
      </patternFill>
    </fill>
    <fill>
      <patternFill patternType="solid">
        <fgColor rgb="FFFDFBE4"/>
        <bgColor rgb="FFFEF9E7"/>
      </patternFill>
    </fill>
    <fill>
      <patternFill patternType="solid">
        <fgColor rgb="FFF1948A"/>
        <bgColor rgb="FFD68910"/>
      </patternFill>
    </fill>
    <fill>
      <patternFill patternType="solid">
        <fgColor rgb="FFF9E79F"/>
        <bgColor rgb="FFFDEDEC"/>
      </patternFill>
    </fill>
    <fill>
      <patternFill patternType="solid">
        <fgColor rgb="FFA9DFBF"/>
        <bgColor rgb="FFAED6F1"/>
      </patternFill>
    </fill>
    <fill>
      <patternFill patternType="solid">
        <fgColor rgb="FFAED6F1"/>
        <bgColor rgb="FFA9DFBF"/>
      </patternFill>
    </fill>
    <fill>
      <patternFill patternType="solid">
        <fgColor rgb="FFD7DBDD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1E8449"/>
      </font>
      <fill>
        <patternFill>
          <bgColor rgb="FFD5F5E3"/>
        </patternFill>
      </fill>
    </dxf>
    <dxf>
      <font>
        <color rgb="FFD68910"/>
      </font>
      <fill>
        <patternFill>
          <bgColor rgb="FFFEF9E7"/>
        </patternFill>
      </fill>
    </dxf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CCCCCC"/>
      <rgbColor rgb="FF878787"/>
      <rgbColor rgb="FFA9DFBF"/>
      <rgbColor rgb="FF993366"/>
      <rgbColor rgb="FFFDFBE4"/>
      <rgbColor rgb="FFD6EAF8"/>
      <rgbColor rgb="FF660066"/>
      <rgbColor rgb="FFF1948A"/>
      <rgbColor rgb="FF0066CC"/>
      <rgbColor rgb="FFD7DBDD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3F4"/>
      <rgbColor rgb="FFD5F5E3"/>
      <rgbColor rgb="FFF9E79F"/>
      <rgbColor rgb="FFAED6F1"/>
      <rgbColor rgb="FFFDEDEC"/>
      <rgbColor rgb="FFF9F9F9"/>
      <rgbColor rgb="FFD9D9D9"/>
      <rgbColor rgb="FF3366FF"/>
      <rgbColor rgb="FF33CCCC"/>
      <rgbColor rgb="FF99CC00"/>
      <rgbColor rgb="FFFFCC00"/>
      <rgbColor rgb="FFD68910"/>
      <rgbColor rgb="FFE74C3C"/>
      <rgbColor rgb="FF666666"/>
      <rgbColor rgb="FF969696"/>
      <rgbColor rgb="FF1A5276"/>
      <rgbColor rgb="FF27AE60"/>
      <rgbColor rgb="FF003300"/>
      <rgbColor rgb="FF444444"/>
      <rgbColor rgb="FFC0392B"/>
      <rgbColor rgb="FF993366"/>
      <rgbColor rgb="FF555555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Headline vs Food vs Core Inflation (YoY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Dashboard'!S1</c:f>
              <c:strCache>
                <c:ptCount val="1"/>
                <c:pt idx="0">
                  <c:v>Headline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Dashboard'!$R$2:$R$37</c:f>
              <c:strCache>
                <c:ptCount val="36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</c:strCache>
            </c:strRef>
          </c:cat>
          <c:val>
            <c:numRef>
              <c:f>'4. Dashboard'!$S$2:$S$37</c:f>
              <c:numCache>
                <c:formatCode>General</c:formatCode>
                <c:ptCount val="36"/>
                <c:pt idx="0">
                  <c:v>0.156</c:v>
                </c:pt>
                <c:pt idx="1">
                  <c:v>0.157</c:v>
                </c:pt>
                <c:pt idx="2">
                  <c:v>0.1592</c:v>
                </c:pt>
                <c:pt idx="3">
                  <c:v>0.1682</c:v>
                </c:pt>
                <c:pt idx="4">
                  <c:v>0.1771</c:v>
                </c:pt>
                <c:pt idx="5">
                  <c:v>0.186</c:v>
                </c:pt>
                <c:pt idx="6">
                  <c:v>0.1964</c:v>
                </c:pt>
                <c:pt idx="7">
                  <c:v>0.2052</c:v>
                </c:pt>
                <c:pt idx="8">
                  <c:v>0.2077</c:v>
                </c:pt>
                <c:pt idx="9">
                  <c:v>0.2109</c:v>
                </c:pt>
                <c:pt idx="10">
                  <c:v>0.2147</c:v>
                </c:pt>
                <c:pt idx="11">
                  <c:v>0.2134</c:v>
                </c:pt>
                <c:pt idx="12">
                  <c:v>0.2182</c:v>
                </c:pt>
                <c:pt idx="13">
                  <c:v>0.2191</c:v>
                </c:pt>
                <c:pt idx="14">
                  <c:v>0.2204</c:v>
                </c:pt>
                <c:pt idx="15">
                  <c:v>0.2222</c:v>
                </c:pt>
                <c:pt idx="16">
                  <c:v>0.2241</c:v>
                </c:pt>
                <c:pt idx="17">
                  <c:v>0.2279</c:v>
                </c:pt>
                <c:pt idx="18">
                  <c:v>0.2408</c:v>
                </c:pt>
                <c:pt idx="19">
                  <c:v>0.258</c:v>
                </c:pt>
                <c:pt idx="20">
                  <c:v>0.2672</c:v>
                </c:pt>
                <c:pt idx="21">
                  <c:v>0.2733</c:v>
                </c:pt>
                <c:pt idx="22">
                  <c:v>0.282</c:v>
                </c:pt>
                <c:pt idx="23">
                  <c:v>0.2892</c:v>
                </c:pt>
                <c:pt idx="24">
                  <c:v>0.299</c:v>
                </c:pt>
                <c:pt idx="25">
                  <c:v>0.317</c:v>
                </c:pt>
                <c:pt idx="26">
                  <c:v>0.332</c:v>
                </c:pt>
                <c:pt idx="27">
                  <c:v>0.3369</c:v>
                </c:pt>
                <c:pt idx="28">
                  <c:v>0.3395</c:v>
                </c:pt>
                <c:pt idx="29">
                  <c:v>0.3419</c:v>
                </c:pt>
                <c:pt idx="30">
                  <c:v>0.334</c:v>
                </c:pt>
                <c:pt idx="31">
                  <c:v>0.3215</c:v>
                </c:pt>
                <c:pt idx="32">
                  <c:v>0.327</c:v>
                </c:pt>
                <c:pt idx="33">
                  <c:v>0.3388</c:v>
                </c:pt>
                <c:pt idx="34">
                  <c:v>0.346</c:v>
                </c:pt>
                <c:pt idx="35">
                  <c:v>0.348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Dashboard'!T1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e74c3c"/>
            </a:solidFill>
            <a:ln w="2016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Dashboard'!$R$2:$R$37</c:f>
              <c:strCache>
                <c:ptCount val="36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</c:strCache>
            </c:strRef>
          </c:cat>
          <c:val>
            <c:numRef>
              <c:f>'4. Dashboard'!$T$2:$T$37</c:f>
              <c:numCache>
                <c:formatCode>General</c:formatCode>
                <c:ptCount val="36"/>
                <c:pt idx="0">
                  <c:v>0.1713</c:v>
                </c:pt>
                <c:pt idx="1">
                  <c:v>0.1711</c:v>
                </c:pt>
                <c:pt idx="2">
                  <c:v>0.172</c:v>
                </c:pt>
                <c:pt idx="3">
                  <c:v>0.1837</c:v>
                </c:pt>
                <c:pt idx="4">
                  <c:v>0.1919</c:v>
                </c:pt>
                <c:pt idx="5">
                  <c:v>0.206</c:v>
                </c:pt>
                <c:pt idx="6">
                  <c:v>0.2202</c:v>
                </c:pt>
                <c:pt idx="7">
                  <c:v>0.2312</c:v>
                </c:pt>
                <c:pt idx="8">
                  <c:v>0.2334</c:v>
                </c:pt>
                <c:pt idx="9">
                  <c:v>0.2372</c:v>
                </c:pt>
                <c:pt idx="10">
                  <c:v>0.2413</c:v>
                </c:pt>
                <c:pt idx="11">
                  <c:v>0.2375</c:v>
                </c:pt>
                <c:pt idx="12">
                  <c:v>0.2432</c:v>
                </c:pt>
                <c:pt idx="13">
                  <c:v>0.2435</c:v>
                </c:pt>
                <c:pt idx="14">
                  <c:v>0.2445</c:v>
                </c:pt>
                <c:pt idx="15">
                  <c:v>0.2461</c:v>
                </c:pt>
                <c:pt idx="16">
                  <c:v>0.2482</c:v>
                </c:pt>
                <c:pt idx="17">
                  <c:v>0.2525</c:v>
                </c:pt>
                <c:pt idx="18">
                  <c:v>0.2698</c:v>
                </c:pt>
                <c:pt idx="19">
                  <c:v>0.2934</c:v>
                </c:pt>
                <c:pt idx="20">
                  <c:v>0.3064</c:v>
                </c:pt>
                <c:pt idx="21">
                  <c:v>0.3152</c:v>
                </c:pt>
                <c:pt idx="22">
                  <c:v>0.3284</c:v>
                </c:pt>
                <c:pt idx="23">
                  <c:v>0.3393</c:v>
                </c:pt>
                <c:pt idx="24">
                  <c:v>0.3541</c:v>
                </c:pt>
                <c:pt idx="25">
                  <c:v>0.3792</c:v>
                </c:pt>
                <c:pt idx="26">
                  <c:v>0.4001</c:v>
                </c:pt>
                <c:pt idx="27">
                  <c:v>0.4053</c:v>
                </c:pt>
                <c:pt idx="28">
                  <c:v>0.4066</c:v>
                </c:pt>
                <c:pt idx="29">
                  <c:v>0.4087</c:v>
                </c:pt>
                <c:pt idx="30">
                  <c:v>0.3953</c:v>
                </c:pt>
                <c:pt idx="31">
                  <c:v>0.3752</c:v>
                </c:pt>
                <c:pt idx="32">
                  <c:v>0.3777</c:v>
                </c:pt>
                <c:pt idx="33">
                  <c:v>0.3916</c:v>
                </c:pt>
                <c:pt idx="34">
                  <c:v>0.3993</c:v>
                </c:pt>
                <c:pt idx="35">
                  <c:v>0.4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'4. Dashboard'!U1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27ae60"/>
            </a:solidFill>
            <a:ln w="201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Dashboard'!$R$2:$R$37</c:f>
              <c:strCache>
                <c:ptCount val="36"/>
                <c:pt idx="0">
                  <c:v>Jan-22</c:v>
                </c:pt>
                <c:pt idx="1">
                  <c:v>Feb-22</c:v>
                </c:pt>
                <c:pt idx="2">
                  <c:v>Mar-22</c:v>
                </c:pt>
                <c:pt idx="3">
                  <c:v>Apr-22</c:v>
                </c:pt>
                <c:pt idx="4">
                  <c:v>May-22</c:v>
                </c:pt>
                <c:pt idx="5">
                  <c:v>Jun-22</c:v>
                </c:pt>
                <c:pt idx="6">
                  <c:v>Jul-22</c:v>
                </c:pt>
                <c:pt idx="7">
                  <c:v>Aug-22</c:v>
                </c:pt>
                <c:pt idx="8">
                  <c:v>Sep-22</c:v>
                </c:pt>
                <c:pt idx="9">
                  <c:v>Oct-22</c:v>
                </c:pt>
                <c:pt idx="10">
                  <c:v>Nov-22</c:v>
                </c:pt>
                <c:pt idx="11">
                  <c:v>Dec-22</c:v>
                </c:pt>
                <c:pt idx="12">
                  <c:v>Jan-23</c:v>
                </c:pt>
                <c:pt idx="13">
                  <c:v>Feb-23</c:v>
                </c:pt>
                <c:pt idx="14">
                  <c:v>Mar-23</c:v>
                </c:pt>
                <c:pt idx="15">
                  <c:v>Apr-23</c:v>
                </c:pt>
                <c:pt idx="16">
                  <c:v>May-23</c:v>
                </c:pt>
                <c:pt idx="17">
                  <c:v>Jun-23</c:v>
                </c:pt>
                <c:pt idx="18">
                  <c:v>Jul-23</c:v>
                </c:pt>
                <c:pt idx="19">
                  <c:v>Aug-23</c:v>
                </c:pt>
                <c:pt idx="20">
                  <c:v>Sep-23</c:v>
                </c:pt>
                <c:pt idx="21">
                  <c:v>Oct-23</c:v>
                </c:pt>
                <c:pt idx="22">
                  <c:v>Nov-23</c:v>
                </c:pt>
                <c:pt idx="23">
                  <c:v>Dec-23</c:v>
                </c:pt>
                <c:pt idx="24">
                  <c:v>Jan-24</c:v>
                </c:pt>
                <c:pt idx="25">
                  <c:v>Feb-24</c:v>
                </c:pt>
                <c:pt idx="26">
                  <c:v>Mar-24</c:v>
                </c:pt>
                <c:pt idx="27">
                  <c:v>Apr-24</c:v>
                </c:pt>
                <c:pt idx="28">
                  <c:v>May-24</c:v>
                </c:pt>
                <c:pt idx="29">
                  <c:v>Jun-24</c:v>
                </c:pt>
                <c:pt idx="30">
                  <c:v>Jul-24</c:v>
                </c:pt>
                <c:pt idx="31">
                  <c:v>Aug-24</c:v>
                </c:pt>
                <c:pt idx="32">
                  <c:v>Sep-24</c:v>
                </c:pt>
                <c:pt idx="33">
                  <c:v>Oct-24</c:v>
                </c:pt>
                <c:pt idx="34">
                  <c:v>Nov-24</c:v>
                </c:pt>
                <c:pt idx="35">
                  <c:v>Dec-24</c:v>
                </c:pt>
              </c:strCache>
            </c:strRef>
          </c:cat>
          <c:val>
            <c:numRef>
              <c:f>'4. Dashboard'!$U$2:$U$37</c:f>
              <c:numCache>
                <c:formatCode>General</c:formatCode>
                <c:ptCount val="36"/>
                <c:pt idx="0">
                  <c:v>0.1387</c:v>
                </c:pt>
                <c:pt idx="1">
                  <c:v>0.139</c:v>
                </c:pt>
                <c:pt idx="2">
                  <c:v>0.1396</c:v>
                </c:pt>
                <c:pt idx="3">
                  <c:v>0.1418</c:v>
                </c:pt>
                <c:pt idx="4">
                  <c:v>0.1505</c:v>
                </c:pt>
                <c:pt idx="5">
                  <c:v>0.1575</c:v>
                </c:pt>
                <c:pt idx="6">
                  <c:v>0.1626</c:v>
                </c:pt>
                <c:pt idx="7">
                  <c:v>0.172</c:v>
                </c:pt>
                <c:pt idx="8">
                  <c:v>0.1763</c:v>
                </c:pt>
                <c:pt idx="9">
                  <c:v>0.1776</c:v>
                </c:pt>
                <c:pt idx="10">
                  <c:v>0.1802</c:v>
                </c:pt>
                <c:pt idx="11">
                  <c:v>0.1784</c:v>
                </c:pt>
                <c:pt idx="12">
                  <c:v>0.1884</c:v>
                </c:pt>
                <c:pt idx="13">
                  <c:v>0.1913</c:v>
                </c:pt>
                <c:pt idx="14">
                  <c:v>0.1924</c:v>
                </c:pt>
                <c:pt idx="15">
                  <c:v>0.1954</c:v>
                </c:pt>
                <c:pt idx="16">
                  <c:v>0.1986</c:v>
                </c:pt>
                <c:pt idx="17">
                  <c:v>0.2027</c:v>
                </c:pt>
                <c:pt idx="18">
                  <c:v>0.2047</c:v>
                </c:pt>
                <c:pt idx="19">
                  <c:v>0.2149</c:v>
                </c:pt>
                <c:pt idx="20">
                  <c:v>0.2184</c:v>
                </c:pt>
                <c:pt idx="21">
                  <c:v>0.2238</c:v>
                </c:pt>
                <c:pt idx="22">
                  <c:v>0.228</c:v>
                </c:pt>
                <c:pt idx="23">
                  <c:v>0.2306</c:v>
                </c:pt>
                <c:pt idx="24">
                  <c:v>0.2359</c:v>
                </c:pt>
                <c:pt idx="25">
                  <c:v>0.2513</c:v>
                </c:pt>
                <c:pt idx="26">
                  <c:v>0.259</c:v>
                </c:pt>
                <c:pt idx="27">
                  <c:v>0.2684</c:v>
                </c:pt>
                <c:pt idx="28">
                  <c:v>0.2704</c:v>
                </c:pt>
                <c:pt idx="29">
                  <c:v>0.274</c:v>
                </c:pt>
                <c:pt idx="30">
                  <c:v>0.2747</c:v>
                </c:pt>
                <c:pt idx="31">
                  <c:v>0.2758</c:v>
                </c:pt>
                <c:pt idx="32">
                  <c:v>0.2743</c:v>
                </c:pt>
                <c:pt idx="33">
                  <c:v>0.2758</c:v>
                </c:pt>
                <c:pt idx="34">
                  <c:v>0.2875</c:v>
                </c:pt>
                <c:pt idx="35">
                  <c:v>0.2928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199679"/>
        <c:axId val="9062076"/>
      </c:lineChart>
      <c:catAx>
        <c:axId val="10199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2076"/>
        <c:crosses val="autoZero"/>
        <c:auto val="1"/>
        <c:lblAlgn val="ctr"/>
        <c:lblOffset val="100"/>
        <c:noMultiLvlLbl val="0"/>
      </c:catAx>
      <c:valAx>
        <c:axId val="9062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Inflation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996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Average Headline Inflation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'4. Dashboard'!X1</c:f>
              <c:strCache>
                <c:ptCount val="1"/>
                <c:pt idx="0">
                  <c:v>Avg Headline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Dashboard'!$W$2:$W$4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'4. Dashboard'!$X$2:$X$4</c:f>
              <c:numCache>
                <c:formatCode>General</c:formatCode>
                <c:ptCount val="3"/>
                <c:pt idx="0">
                  <c:v>0.18765</c:v>
                </c:pt>
                <c:pt idx="1">
                  <c:v>0.2452</c:v>
                </c:pt>
                <c:pt idx="2">
                  <c:v>0.3318</c:v>
                </c:pt>
              </c:numCache>
            </c:numRef>
          </c:val>
        </c:ser>
        <c:gapWidth val="150"/>
        <c:overlap val="0"/>
        <c:axId val="68924589"/>
        <c:axId val="29599190"/>
      </c:barChart>
      <c:catAx>
        <c:axId val="689245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99190"/>
        <c:crosses val="autoZero"/>
        <c:auto val="1"/>
        <c:lblAlgn val="ctr"/>
        <c:lblOffset val="100"/>
        <c:noMultiLvlLbl val="0"/>
      </c:catAx>
      <c:valAx>
        <c:axId val="29599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Inflation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24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13</xdr:col>
      <xdr:colOff>127080</xdr:colOff>
      <xdr:row>30</xdr:row>
      <xdr:rowOff>107640</xdr:rowOff>
    </xdr:to>
    <xdr:graphicFrame>
      <xdr:nvGraphicFramePr>
        <xdr:cNvPr id="0" name="Chart 1"/>
        <xdr:cNvGraphicFramePr/>
      </xdr:nvGraphicFramePr>
      <xdr:xfrm>
        <a:off x="0" y="15336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6</xdr:row>
      <xdr:rowOff>0</xdr:rowOff>
    </xdr:from>
    <xdr:to>
      <xdr:col>31</xdr:col>
      <xdr:colOff>126000</xdr:colOff>
      <xdr:row>30</xdr:row>
      <xdr:rowOff>107640</xdr:rowOff>
    </xdr:to>
    <xdr:graphicFrame>
      <xdr:nvGraphicFramePr>
        <xdr:cNvPr id="1" name="Chart 2"/>
        <xdr:cNvGraphicFramePr/>
      </xdr:nvGraphicFramePr>
      <xdr:xfrm>
        <a:off x="7792560" y="153360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8" min="5" style="0" width="16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4" t="n">
        <v>2022</v>
      </c>
      <c r="C3" s="5" t="s">
        <v>16</v>
      </c>
      <c r="D3" s="6" t="n">
        <v>0.156</v>
      </c>
      <c r="E3" s="6" t="n">
        <v>0.1713</v>
      </c>
      <c r="F3" s="6" t="n">
        <v>0.1387</v>
      </c>
      <c r="G3" s="6" t="n">
        <v>0.1606</v>
      </c>
      <c r="H3" s="6" t="n">
        <v>0.1516</v>
      </c>
      <c r="I3" s="6" t="n">
        <v>0.0102</v>
      </c>
      <c r="J3" s="6" t="n">
        <v>0.1713</v>
      </c>
      <c r="K3" s="6" t="n">
        <v>0.0979</v>
      </c>
      <c r="L3" s="6" t="n">
        <v>0.1286</v>
      </c>
      <c r="M3" s="6" t="n">
        <v>0.1896</v>
      </c>
      <c r="N3" s="6" t="n">
        <v>0.0988</v>
      </c>
    </row>
    <row r="4" customFormat="false" ht="15" hidden="false" customHeight="false" outlineLevel="0" collapsed="false">
      <c r="A4" s="7" t="s">
        <v>17</v>
      </c>
      <c r="B4" s="8" t="n">
        <v>2022</v>
      </c>
      <c r="C4" s="9" t="s">
        <v>18</v>
      </c>
      <c r="D4" s="10" t="n">
        <v>0.157</v>
      </c>
      <c r="E4" s="10" t="n">
        <v>0.1711</v>
      </c>
      <c r="F4" s="10" t="n">
        <v>0.139</v>
      </c>
      <c r="G4" s="10" t="n">
        <v>0.1618</v>
      </c>
      <c r="H4" s="10" t="n">
        <v>0.1524</v>
      </c>
      <c r="I4" s="10" t="n">
        <v>0.0119</v>
      </c>
      <c r="J4" s="10" t="n">
        <v>0.1711</v>
      </c>
      <c r="K4" s="10" t="n">
        <v>0.099</v>
      </c>
      <c r="L4" s="10" t="n">
        <v>0.1294</v>
      </c>
      <c r="M4" s="10" t="n">
        <v>0.1912</v>
      </c>
      <c r="N4" s="10" t="n">
        <v>0.099</v>
      </c>
    </row>
    <row r="5" customFormat="false" ht="15" hidden="false" customHeight="false" outlineLevel="0" collapsed="false">
      <c r="A5" s="3" t="s">
        <v>19</v>
      </c>
      <c r="B5" s="4" t="n">
        <v>2022</v>
      </c>
      <c r="C5" s="5" t="s">
        <v>20</v>
      </c>
      <c r="D5" s="6" t="n">
        <v>0.1592</v>
      </c>
      <c r="E5" s="6" t="n">
        <v>0.172</v>
      </c>
      <c r="F5" s="6" t="n">
        <v>0.1396</v>
      </c>
      <c r="G5" s="6" t="n">
        <v>0.1644</v>
      </c>
      <c r="H5" s="6" t="n">
        <v>0.1546</v>
      </c>
      <c r="I5" s="6" t="n">
        <v>0.0124</v>
      </c>
      <c r="J5" s="6" t="n">
        <v>0.172</v>
      </c>
      <c r="K5" s="6" t="n">
        <v>0.0996</v>
      </c>
      <c r="L5" s="6" t="n">
        <v>0.1302</v>
      </c>
      <c r="M5" s="6" t="n">
        <v>0.1933</v>
      </c>
      <c r="N5" s="6" t="n">
        <v>0.0996</v>
      </c>
    </row>
    <row r="6" customFormat="false" ht="15" hidden="false" customHeight="false" outlineLevel="0" collapsed="false">
      <c r="A6" s="7" t="s">
        <v>21</v>
      </c>
      <c r="B6" s="8" t="n">
        <v>2022</v>
      </c>
      <c r="C6" s="9" t="s">
        <v>22</v>
      </c>
      <c r="D6" s="10" t="n">
        <v>0.1682</v>
      </c>
      <c r="E6" s="10" t="n">
        <v>0.1837</v>
      </c>
      <c r="F6" s="10" t="n">
        <v>0.1418</v>
      </c>
      <c r="G6" s="10" t="n">
        <v>0.1712</v>
      </c>
      <c r="H6" s="10" t="n">
        <v>0.1655</v>
      </c>
      <c r="I6" s="10" t="n">
        <v>0.0176</v>
      </c>
      <c r="J6" s="10" t="n">
        <v>0.1837</v>
      </c>
      <c r="K6" s="10" t="n">
        <v>0.1084</v>
      </c>
      <c r="L6" s="10" t="n">
        <v>0.1424</v>
      </c>
      <c r="M6" s="10" t="n">
        <v>0.2016</v>
      </c>
      <c r="N6" s="10" t="n">
        <v>0.1006</v>
      </c>
    </row>
    <row r="7" customFormat="false" ht="15" hidden="false" customHeight="false" outlineLevel="0" collapsed="false">
      <c r="A7" s="3" t="s">
        <v>23</v>
      </c>
      <c r="B7" s="4" t="n">
        <v>2022</v>
      </c>
      <c r="C7" s="5" t="s">
        <v>24</v>
      </c>
      <c r="D7" s="6" t="n">
        <v>0.1771</v>
      </c>
      <c r="E7" s="6" t="n">
        <v>0.1919</v>
      </c>
      <c r="F7" s="6" t="n">
        <v>0.1505</v>
      </c>
      <c r="G7" s="6" t="n">
        <v>0.1809</v>
      </c>
      <c r="H7" s="6" t="n">
        <v>0.1736</v>
      </c>
      <c r="I7" s="6" t="n">
        <v>0.0178</v>
      </c>
      <c r="J7" s="6" t="n">
        <v>0.1919</v>
      </c>
      <c r="K7" s="6" t="n">
        <v>0.1147</v>
      </c>
      <c r="L7" s="6" t="n">
        <v>0.1477</v>
      </c>
      <c r="M7" s="6" t="n">
        <v>0.211</v>
      </c>
      <c r="N7" s="6" t="n">
        <v>0.1085</v>
      </c>
    </row>
    <row r="8" customFormat="false" ht="15" hidden="false" customHeight="false" outlineLevel="0" collapsed="false">
      <c r="A8" s="7" t="s">
        <v>25</v>
      </c>
      <c r="B8" s="8" t="n">
        <v>2022</v>
      </c>
      <c r="C8" s="9" t="s">
        <v>26</v>
      </c>
      <c r="D8" s="10" t="n">
        <v>0.186</v>
      </c>
      <c r="E8" s="10" t="n">
        <v>0.206</v>
      </c>
      <c r="F8" s="10" t="n">
        <v>0.1575</v>
      </c>
      <c r="G8" s="10" t="n">
        <v>0.191</v>
      </c>
      <c r="H8" s="10" t="n">
        <v>0.181</v>
      </c>
      <c r="I8" s="10" t="n">
        <v>0.0182</v>
      </c>
      <c r="J8" s="10" t="n">
        <v>0.206</v>
      </c>
      <c r="K8" s="10" t="n">
        <v>0.121</v>
      </c>
      <c r="L8" s="10" t="n">
        <v>0.154</v>
      </c>
      <c r="M8" s="10" t="n">
        <v>0.22</v>
      </c>
      <c r="N8" s="10" t="n">
        <v>0.112</v>
      </c>
    </row>
    <row r="9" customFormat="false" ht="15" hidden="false" customHeight="false" outlineLevel="0" collapsed="false">
      <c r="A9" s="3" t="s">
        <v>27</v>
      </c>
      <c r="B9" s="4" t="n">
        <v>2022</v>
      </c>
      <c r="C9" s="5" t="s">
        <v>28</v>
      </c>
      <c r="D9" s="6" t="n">
        <v>0.1964</v>
      </c>
      <c r="E9" s="6" t="n">
        <v>0.2202</v>
      </c>
      <c r="F9" s="6" t="n">
        <v>0.1626</v>
      </c>
      <c r="G9" s="6" t="n">
        <v>0.2014</v>
      </c>
      <c r="H9" s="6" t="n">
        <v>0.192</v>
      </c>
      <c r="I9" s="6" t="n">
        <v>0.0189</v>
      </c>
      <c r="J9" s="6" t="n">
        <v>0.2202</v>
      </c>
      <c r="K9" s="6" t="n">
        <v>0.1276</v>
      </c>
      <c r="L9" s="6" t="n">
        <v>0.1618</v>
      </c>
      <c r="M9" s="6" t="n">
        <v>0.2306</v>
      </c>
      <c r="N9" s="6" t="n">
        <v>0.1154</v>
      </c>
    </row>
    <row r="10" customFormat="false" ht="15" hidden="false" customHeight="false" outlineLevel="0" collapsed="false">
      <c r="A10" s="7" t="s">
        <v>29</v>
      </c>
      <c r="B10" s="8" t="n">
        <v>2022</v>
      </c>
      <c r="C10" s="9" t="s">
        <v>30</v>
      </c>
      <c r="D10" s="10" t="n">
        <v>0.2052</v>
      </c>
      <c r="E10" s="10" t="n">
        <v>0.2312</v>
      </c>
      <c r="F10" s="10" t="n">
        <v>0.172</v>
      </c>
      <c r="G10" s="10" t="n">
        <v>0.2108</v>
      </c>
      <c r="H10" s="10" t="n">
        <v>0.2002</v>
      </c>
      <c r="I10" s="10" t="n">
        <v>0.0177</v>
      </c>
      <c r="J10" s="10" t="n">
        <v>0.2312</v>
      </c>
      <c r="K10" s="10" t="n">
        <v>0.1342</v>
      </c>
      <c r="L10" s="10" t="n">
        <v>0.1678</v>
      </c>
      <c r="M10" s="10" t="n">
        <v>0.2389</v>
      </c>
      <c r="N10" s="10" t="n">
        <v>0.1206</v>
      </c>
    </row>
    <row r="11" customFormat="false" ht="15" hidden="false" customHeight="false" outlineLevel="0" collapsed="false">
      <c r="A11" s="3" t="s">
        <v>31</v>
      </c>
      <c r="B11" s="4" t="n">
        <v>2022</v>
      </c>
      <c r="C11" s="5" t="s">
        <v>32</v>
      </c>
      <c r="D11" s="6" t="n">
        <v>0.2077</v>
      </c>
      <c r="E11" s="6" t="n">
        <v>0.2334</v>
      </c>
      <c r="F11" s="6" t="n">
        <v>0.1763</v>
      </c>
      <c r="G11" s="6" t="n">
        <v>0.2134</v>
      </c>
      <c r="H11" s="6" t="n">
        <v>0.2029</v>
      </c>
      <c r="I11" s="6" t="n">
        <v>0.0136</v>
      </c>
      <c r="J11" s="6" t="n">
        <v>0.2334</v>
      </c>
      <c r="K11" s="6" t="n">
        <v>0.1386</v>
      </c>
      <c r="L11" s="6" t="n">
        <v>0.1722</v>
      </c>
      <c r="M11" s="6" t="n">
        <v>0.2422</v>
      </c>
      <c r="N11" s="6" t="n">
        <v>0.1226</v>
      </c>
    </row>
    <row r="12" customFormat="false" ht="15" hidden="false" customHeight="false" outlineLevel="0" collapsed="false">
      <c r="A12" s="7" t="s">
        <v>33</v>
      </c>
      <c r="B12" s="8" t="n">
        <v>2022</v>
      </c>
      <c r="C12" s="9" t="s">
        <v>34</v>
      </c>
      <c r="D12" s="10" t="n">
        <v>0.2109</v>
      </c>
      <c r="E12" s="10" t="n">
        <v>0.2372</v>
      </c>
      <c r="F12" s="10" t="n">
        <v>0.1776</v>
      </c>
      <c r="G12" s="10" t="n">
        <v>0.2182</v>
      </c>
      <c r="H12" s="10" t="n">
        <v>0.2054</v>
      </c>
      <c r="I12" s="10" t="n">
        <v>0.0124</v>
      </c>
      <c r="J12" s="10" t="n">
        <v>0.2372</v>
      </c>
      <c r="K12" s="10" t="n">
        <v>0.141</v>
      </c>
      <c r="L12" s="10" t="n">
        <v>0.1744</v>
      </c>
      <c r="M12" s="10" t="n">
        <v>0.2466</v>
      </c>
      <c r="N12" s="10" t="n">
        <v>0.125</v>
      </c>
    </row>
    <row r="13" customFormat="false" ht="15" hidden="false" customHeight="false" outlineLevel="0" collapsed="false">
      <c r="A13" s="3" t="s">
        <v>35</v>
      </c>
      <c r="B13" s="4" t="n">
        <v>2022</v>
      </c>
      <c r="C13" s="5" t="s">
        <v>36</v>
      </c>
      <c r="D13" s="6" t="n">
        <v>0.2147</v>
      </c>
      <c r="E13" s="6" t="n">
        <v>0.2413</v>
      </c>
      <c r="F13" s="6" t="n">
        <v>0.1802</v>
      </c>
      <c r="G13" s="6" t="n">
        <v>0.2216</v>
      </c>
      <c r="H13" s="6" t="n">
        <v>0.2098</v>
      </c>
      <c r="I13" s="6" t="n">
        <v>0.0139</v>
      </c>
      <c r="J13" s="6" t="n">
        <v>0.2413</v>
      </c>
      <c r="K13" s="6" t="n">
        <v>0.1433</v>
      </c>
      <c r="L13" s="6" t="n">
        <v>0.1776</v>
      </c>
      <c r="M13" s="6" t="n">
        <v>0.25</v>
      </c>
      <c r="N13" s="6" t="n">
        <v>0.1272</v>
      </c>
    </row>
    <row r="14" customFormat="false" ht="15" hidden="false" customHeight="false" outlineLevel="0" collapsed="false">
      <c r="A14" s="7" t="s">
        <v>37</v>
      </c>
      <c r="B14" s="8" t="n">
        <v>2022</v>
      </c>
      <c r="C14" s="9" t="s">
        <v>38</v>
      </c>
      <c r="D14" s="10" t="n">
        <v>0.2134</v>
      </c>
      <c r="E14" s="10" t="n">
        <v>0.2375</v>
      </c>
      <c r="F14" s="10" t="n">
        <v>0.1784</v>
      </c>
      <c r="G14" s="10" t="n">
        <v>0.2205</v>
      </c>
      <c r="H14" s="10" t="n">
        <v>0.2088</v>
      </c>
      <c r="I14" s="10" t="n">
        <v>0.0102</v>
      </c>
      <c r="J14" s="10" t="n">
        <v>0.2375</v>
      </c>
      <c r="K14" s="10" t="n">
        <v>0.1415</v>
      </c>
      <c r="L14" s="10" t="n">
        <v>0.1756</v>
      </c>
      <c r="M14" s="10" t="n">
        <v>0.248</v>
      </c>
      <c r="N14" s="10" t="n">
        <v>0.1258</v>
      </c>
    </row>
    <row r="15" customFormat="false" ht="15" hidden="false" customHeight="false" outlineLevel="0" collapsed="false">
      <c r="A15" s="3" t="s">
        <v>15</v>
      </c>
      <c r="B15" s="4" t="n">
        <v>2023</v>
      </c>
      <c r="C15" s="5" t="s">
        <v>39</v>
      </c>
      <c r="D15" s="6" t="n">
        <v>0.2182</v>
      </c>
      <c r="E15" s="6" t="n">
        <v>0.2432</v>
      </c>
      <c r="F15" s="6" t="n">
        <v>0.1884</v>
      </c>
      <c r="G15" s="6" t="n">
        <v>0.2263</v>
      </c>
      <c r="H15" s="6" t="n">
        <v>0.2108</v>
      </c>
      <c r="I15" s="6" t="n">
        <v>0.0116</v>
      </c>
      <c r="J15" s="6" t="n">
        <v>0.2432</v>
      </c>
      <c r="K15" s="6" t="n">
        <v>0.1452</v>
      </c>
      <c r="L15" s="6" t="n">
        <v>0.181</v>
      </c>
      <c r="M15" s="6" t="n">
        <v>0.2534</v>
      </c>
      <c r="N15" s="6" t="n">
        <v>0.1298</v>
      </c>
    </row>
    <row r="16" customFormat="false" ht="15" hidden="false" customHeight="false" outlineLevel="0" collapsed="false">
      <c r="A16" s="7" t="s">
        <v>17</v>
      </c>
      <c r="B16" s="8" t="n">
        <v>2023</v>
      </c>
      <c r="C16" s="9" t="s">
        <v>40</v>
      </c>
      <c r="D16" s="10" t="n">
        <v>0.2191</v>
      </c>
      <c r="E16" s="10" t="n">
        <v>0.2435</v>
      </c>
      <c r="F16" s="10" t="n">
        <v>0.1913</v>
      </c>
      <c r="G16" s="10" t="n">
        <v>0.2272</v>
      </c>
      <c r="H16" s="10" t="n">
        <v>0.2121</v>
      </c>
      <c r="I16" s="10" t="n">
        <v>0.0171</v>
      </c>
      <c r="J16" s="10" t="n">
        <v>0.2435</v>
      </c>
      <c r="K16" s="10" t="n">
        <v>0.146</v>
      </c>
      <c r="L16" s="10" t="n">
        <v>0.182</v>
      </c>
      <c r="M16" s="10" t="n">
        <v>0.2544</v>
      </c>
      <c r="N16" s="10" t="n">
        <v>0.1314</v>
      </c>
    </row>
    <row r="17" customFormat="false" ht="15" hidden="false" customHeight="false" outlineLevel="0" collapsed="false">
      <c r="A17" s="3" t="s">
        <v>19</v>
      </c>
      <c r="B17" s="4" t="n">
        <v>2023</v>
      </c>
      <c r="C17" s="5" t="s">
        <v>41</v>
      </c>
      <c r="D17" s="6" t="n">
        <v>0.2204</v>
      </c>
      <c r="E17" s="6" t="n">
        <v>0.2445</v>
      </c>
      <c r="F17" s="6" t="n">
        <v>0.1924</v>
      </c>
      <c r="G17" s="6" t="n">
        <v>0.2286</v>
      </c>
      <c r="H17" s="6" t="n">
        <v>0.2136</v>
      </c>
      <c r="I17" s="6" t="n">
        <v>0.0186</v>
      </c>
      <c r="J17" s="6" t="n">
        <v>0.2445</v>
      </c>
      <c r="K17" s="6" t="n">
        <v>0.1474</v>
      </c>
      <c r="L17" s="6" t="n">
        <v>0.1836</v>
      </c>
      <c r="M17" s="6" t="n">
        <v>0.2562</v>
      </c>
      <c r="N17" s="6" t="n">
        <v>0.1328</v>
      </c>
    </row>
    <row r="18" customFormat="false" ht="15" hidden="false" customHeight="false" outlineLevel="0" collapsed="false">
      <c r="A18" s="7" t="s">
        <v>21</v>
      </c>
      <c r="B18" s="8" t="n">
        <v>2023</v>
      </c>
      <c r="C18" s="9" t="s">
        <v>42</v>
      </c>
      <c r="D18" s="10" t="n">
        <v>0.2222</v>
      </c>
      <c r="E18" s="10" t="n">
        <v>0.2461</v>
      </c>
      <c r="F18" s="10" t="n">
        <v>0.1954</v>
      </c>
      <c r="G18" s="10" t="n">
        <v>0.2306</v>
      </c>
      <c r="H18" s="10" t="n">
        <v>0.2152</v>
      </c>
      <c r="I18" s="10" t="n">
        <v>0.019</v>
      </c>
      <c r="J18" s="10" t="n">
        <v>0.2461</v>
      </c>
      <c r="K18" s="10" t="n">
        <v>0.1498</v>
      </c>
      <c r="L18" s="10" t="n">
        <v>0.1852</v>
      </c>
      <c r="M18" s="10" t="n">
        <v>0.2582</v>
      </c>
      <c r="N18" s="10" t="n">
        <v>0.1344</v>
      </c>
    </row>
    <row r="19" customFormat="false" ht="15" hidden="false" customHeight="false" outlineLevel="0" collapsed="false">
      <c r="A19" s="3" t="s">
        <v>23</v>
      </c>
      <c r="B19" s="4" t="n">
        <v>2023</v>
      </c>
      <c r="C19" s="5" t="s">
        <v>43</v>
      </c>
      <c r="D19" s="6" t="n">
        <v>0.2241</v>
      </c>
      <c r="E19" s="6" t="n">
        <v>0.2482</v>
      </c>
      <c r="F19" s="6" t="n">
        <v>0.1986</v>
      </c>
      <c r="G19" s="6" t="n">
        <v>0.2326</v>
      </c>
      <c r="H19" s="6" t="n">
        <v>0.2162</v>
      </c>
      <c r="I19" s="6" t="n">
        <v>0.0194</v>
      </c>
      <c r="J19" s="6" t="n">
        <v>0.2482</v>
      </c>
      <c r="K19" s="6" t="n">
        <v>0.1522</v>
      </c>
      <c r="L19" s="6" t="n">
        <v>0.1868</v>
      </c>
      <c r="M19" s="6" t="n">
        <v>0.261</v>
      </c>
      <c r="N19" s="6" t="n">
        <v>0.136</v>
      </c>
    </row>
    <row r="20" customFormat="false" ht="15" hidden="false" customHeight="false" outlineLevel="0" collapsed="false">
      <c r="A20" s="7" t="s">
        <v>25</v>
      </c>
      <c r="B20" s="8" t="n">
        <v>2023</v>
      </c>
      <c r="C20" s="9" t="s">
        <v>44</v>
      </c>
      <c r="D20" s="10" t="n">
        <v>0.2279</v>
      </c>
      <c r="E20" s="10" t="n">
        <v>0.2525</v>
      </c>
      <c r="F20" s="10" t="n">
        <v>0.2027</v>
      </c>
      <c r="G20" s="10" t="n">
        <v>0.2366</v>
      </c>
      <c r="H20" s="10" t="n">
        <v>0.2199</v>
      </c>
      <c r="I20" s="10" t="n">
        <v>0.0213</v>
      </c>
      <c r="J20" s="10" t="n">
        <v>0.2525</v>
      </c>
      <c r="K20" s="10" t="n">
        <v>0.1564</v>
      </c>
      <c r="L20" s="10" t="n">
        <v>0.191</v>
      </c>
      <c r="M20" s="10" t="n">
        <v>0.2652</v>
      </c>
      <c r="N20" s="10" t="n">
        <v>0.1398</v>
      </c>
    </row>
    <row r="21" customFormat="false" ht="15" hidden="false" customHeight="false" outlineLevel="0" collapsed="false">
      <c r="A21" s="3" t="s">
        <v>27</v>
      </c>
      <c r="B21" s="4" t="n">
        <v>2023</v>
      </c>
      <c r="C21" s="5" t="s">
        <v>45</v>
      </c>
      <c r="D21" s="6" t="n">
        <v>0.2408</v>
      </c>
      <c r="E21" s="6" t="n">
        <v>0.2698</v>
      </c>
      <c r="F21" s="6" t="n">
        <v>0.2047</v>
      </c>
      <c r="G21" s="6" t="n">
        <v>0.2486</v>
      </c>
      <c r="H21" s="6" t="n">
        <v>0.2339</v>
      </c>
      <c r="I21" s="6" t="n">
        <v>0.0289</v>
      </c>
      <c r="J21" s="6" t="n">
        <v>0.2698</v>
      </c>
      <c r="K21" s="6" t="n">
        <v>0.1628</v>
      </c>
      <c r="L21" s="6" t="n">
        <v>0.2046</v>
      </c>
      <c r="M21" s="6" t="n">
        <v>0.2792</v>
      </c>
      <c r="N21" s="6" t="n">
        <v>0.142</v>
      </c>
    </row>
    <row r="22" customFormat="false" ht="15" hidden="false" customHeight="false" outlineLevel="0" collapsed="false">
      <c r="A22" s="7" t="s">
        <v>29</v>
      </c>
      <c r="B22" s="8" t="n">
        <v>2023</v>
      </c>
      <c r="C22" s="9" t="s">
        <v>46</v>
      </c>
      <c r="D22" s="10" t="n">
        <v>0.258</v>
      </c>
      <c r="E22" s="10" t="n">
        <v>0.2934</v>
      </c>
      <c r="F22" s="10" t="n">
        <v>0.2149</v>
      </c>
      <c r="G22" s="10" t="n">
        <v>0.2656</v>
      </c>
      <c r="H22" s="10" t="n">
        <v>0.251</v>
      </c>
      <c r="I22" s="10" t="n">
        <v>0.0318</v>
      </c>
      <c r="J22" s="10" t="n">
        <v>0.2934</v>
      </c>
      <c r="K22" s="10" t="n">
        <v>0.1756</v>
      </c>
      <c r="L22" s="10" t="n">
        <v>0.2202</v>
      </c>
      <c r="M22" s="10" t="n">
        <v>0.2974</v>
      </c>
      <c r="N22" s="10" t="n">
        <v>0.1494</v>
      </c>
    </row>
    <row r="23" customFormat="false" ht="15" hidden="false" customHeight="false" outlineLevel="0" collapsed="false">
      <c r="A23" s="3" t="s">
        <v>31</v>
      </c>
      <c r="B23" s="4" t="n">
        <v>2023</v>
      </c>
      <c r="C23" s="5" t="s">
        <v>47</v>
      </c>
      <c r="D23" s="6" t="n">
        <v>0.2672</v>
      </c>
      <c r="E23" s="6" t="n">
        <v>0.3064</v>
      </c>
      <c r="F23" s="6" t="n">
        <v>0.2184</v>
      </c>
      <c r="G23" s="6" t="n">
        <v>0.2756</v>
      </c>
      <c r="H23" s="6" t="n">
        <v>0.2598</v>
      </c>
      <c r="I23" s="6" t="n">
        <v>0.0216</v>
      </c>
      <c r="J23" s="6" t="n">
        <v>0.3064</v>
      </c>
      <c r="K23" s="6" t="n">
        <v>0.1834</v>
      </c>
      <c r="L23" s="6" t="n">
        <v>0.2286</v>
      </c>
      <c r="M23" s="6" t="n">
        <v>0.3072</v>
      </c>
      <c r="N23" s="6" t="n">
        <v>0.1528</v>
      </c>
    </row>
    <row r="24" customFormat="false" ht="15" hidden="false" customHeight="false" outlineLevel="0" collapsed="false">
      <c r="A24" s="7" t="s">
        <v>33</v>
      </c>
      <c r="B24" s="8" t="n">
        <v>2023</v>
      </c>
      <c r="C24" s="9" t="s">
        <v>48</v>
      </c>
      <c r="D24" s="10" t="n">
        <v>0.2733</v>
      </c>
      <c r="E24" s="10" t="n">
        <v>0.3152</v>
      </c>
      <c r="F24" s="10" t="n">
        <v>0.2238</v>
      </c>
      <c r="G24" s="10" t="n">
        <v>0.2822</v>
      </c>
      <c r="H24" s="10" t="n">
        <v>0.2652</v>
      </c>
      <c r="I24" s="10" t="n">
        <v>0.0173</v>
      </c>
      <c r="J24" s="10" t="n">
        <v>0.3152</v>
      </c>
      <c r="K24" s="10" t="n">
        <v>0.1882</v>
      </c>
      <c r="L24" s="10" t="n">
        <v>0.2342</v>
      </c>
      <c r="M24" s="10" t="n">
        <v>0.314</v>
      </c>
      <c r="N24" s="10" t="n">
        <v>0.1562</v>
      </c>
    </row>
    <row r="25" customFormat="false" ht="15" hidden="false" customHeight="false" outlineLevel="0" collapsed="false">
      <c r="A25" s="3" t="s">
        <v>35</v>
      </c>
      <c r="B25" s="4" t="n">
        <v>2023</v>
      </c>
      <c r="C25" s="5" t="s">
        <v>49</v>
      </c>
      <c r="D25" s="6" t="n">
        <v>0.282</v>
      </c>
      <c r="E25" s="6" t="n">
        <v>0.3284</v>
      </c>
      <c r="F25" s="6" t="n">
        <v>0.228</v>
      </c>
      <c r="G25" s="6" t="n">
        <v>0.2906</v>
      </c>
      <c r="H25" s="6" t="n">
        <v>0.2742</v>
      </c>
      <c r="I25" s="6" t="n">
        <v>0.0209</v>
      </c>
      <c r="J25" s="6" t="n">
        <v>0.3284</v>
      </c>
      <c r="K25" s="6" t="n">
        <v>0.1936</v>
      </c>
      <c r="L25" s="6" t="n">
        <v>0.2412</v>
      </c>
      <c r="M25" s="6" t="n">
        <v>0.3224</v>
      </c>
      <c r="N25" s="6" t="n">
        <v>0.16</v>
      </c>
    </row>
    <row r="26" customFormat="false" ht="15" hidden="false" customHeight="false" outlineLevel="0" collapsed="false">
      <c r="A26" s="7" t="s">
        <v>37</v>
      </c>
      <c r="B26" s="8" t="n">
        <v>2023</v>
      </c>
      <c r="C26" s="9" t="s">
        <v>50</v>
      </c>
      <c r="D26" s="10" t="n">
        <v>0.2892</v>
      </c>
      <c r="E26" s="10" t="n">
        <v>0.3393</v>
      </c>
      <c r="F26" s="10" t="n">
        <v>0.2306</v>
      </c>
      <c r="G26" s="10" t="n">
        <v>0.2982</v>
      </c>
      <c r="H26" s="10" t="n">
        <v>0.2808</v>
      </c>
      <c r="I26" s="10" t="n">
        <v>0.0229</v>
      </c>
      <c r="J26" s="10" t="n">
        <v>0.3393</v>
      </c>
      <c r="K26" s="10" t="n">
        <v>0.1976</v>
      </c>
      <c r="L26" s="10" t="n">
        <v>0.2468</v>
      </c>
      <c r="M26" s="10" t="n">
        <v>0.3294</v>
      </c>
      <c r="N26" s="10" t="n">
        <v>0.1632</v>
      </c>
    </row>
    <row r="27" customFormat="false" ht="15" hidden="false" customHeight="false" outlineLevel="0" collapsed="false">
      <c r="A27" s="3" t="s">
        <v>15</v>
      </c>
      <c r="B27" s="4" t="n">
        <v>2024</v>
      </c>
      <c r="C27" s="5" t="s">
        <v>51</v>
      </c>
      <c r="D27" s="6" t="n">
        <v>0.299</v>
      </c>
      <c r="E27" s="6" t="n">
        <v>0.3541</v>
      </c>
      <c r="F27" s="6" t="n">
        <v>0.2359</v>
      </c>
      <c r="G27" s="6" t="n">
        <v>0.308</v>
      </c>
      <c r="H27" s="6" t="n">
        <v>0.2906</v>
      </c>
      <c r="I27" s="6" t="n">
        <v>0.0264</v>
      </c>
      <c r="J27" s="6" t="n">
        <v>0.3541</v>
      </c>
      <c r="K27" s="6" t="n">
        <v>0.2028</v>
      </c>
      <c r="L27" s="6" t="n">
        <v>0.2546</v>
      </c>
      <c r="M27" s="6" t="n">
        <v>0.3386</v>
      </c>
      <c r="N27" s="6" t="n">
        <v>0.1684</v>
      </c>
    </row>
    <row r="28" customFormat="false" ht="15" hidden="false" customHeight="false" outlineLevel="0" collapsed="false">
      <c r="A28" s="7" t="s">
        <v>17</v>
      </c>
      <c r="B28" s="8" t="n">
        <v>2024</v>
      </c>
      <c r="C28" s="9" t="s">
        <v>52</v>
      </c>
      <c r="D28" s="10" t="n">
        <v>0.317</v>
      </c>
      <c r="E28" s="10" t="n">
        <v>0.3792</v>
      </c>
      <c r="F28" s="10" t="n">
        <v>0.2513</v>
      </c>
      <c r="G28" s="10" t="n">
        <v>0.3264</v>
      </c>
      <c r="H28" s="10" t="n">
        <v>0.3086</v>
      </c>
      <c r="I28" s="10" t="n">
        <v>0.0312</v>
      </c>
      <c r="J28" s="10" t="n">
        <v>0.3792</v>
      </c>
      <c r="K28" s="10" t="n">
        <v>0.2134</v>
      </c>
      <c r="L28" s="10" t="n">
        <v>0.2652</v>
      </c>
      <c r="M28" s="10" t="n">
        <v>0.3564</v>
      </c>
      <c r="N28" s="10" t="n">
        <v>0.1756</v>
      </c>
    </row>
    <row r="29" customFormat="false" ht="15" hidden="false" customHeight="false" outlineLevel="0" collapsed="false">
      <c r="A29" s="3" t="s">
        <v>19</v>
      </c>
      <c r="B29" s="4" t="n">
        <v>2024</v>
      </c>
      <c r="C29" s="5" t="s">
        <v>53</v>
      </c>
      <c r="D29" s="6" t="n">
        <v>0.332</v>
      </c>
      <c r="E29" s="6" t="n">
        <v>0.4001</v>
      </c>
      <c r="F29" s="6" t="n">
        <v>0.259</v>
      </c>
      <c r="G29" s="6" t="n">
        <v>0.3416</v>
      </c>
      <c r="H29" s="6" t="n">
        <v>0.3228</v>
      </c>
      <c r="I29" s="6" t="n">
        <v>0.0302</v>
      </c>
      <c r="J29" s="6" t="n">
        <v>0.4001</v>
      </c>
      <c r="K29" s="6" t="n">
        <v>0.224</v>
      </c>
      <c r="L29" s="6" t="n">
        <v>0.2778</v>
      </c>
      <c r="M29" s="6" t="n">
        <v>0.3742</v>
      </c>
      <c r="N29" s="6" t="n">
        <v>0.1824</v>
      </c>
    </row>
    <row r="30" customFormat="false" ht="15" hidden="false" customHeight="false" outlineLevel="0" collapsed="false">
      <c r="A30" s="7" t="s">
        <v>21</v>
      </c>
      <c r="B30" s="8" t="n">
        <v>2024</v>
      </c>
      <c r="C30" s="9" t="s">
        <v>54</v>
      </c>
      <c r="D30" s="10" t="n">
        <v>0.3369</v>
      </c>
      <c r="E30" s="10" t="n">
        <v>0.4053</v>
      </c>
      <c r="F30" s="10" t="n">
        <v>0.2684</v>
      </c>
      <c r="G30" s="10" t="n">
        <v>0.3468</v>
      </c>
      <c r="H30" s="10" t="n">
        <v>0.3276</v>
      </c>
      <c r="I30" s="10" t="n">
        <v>0.0229</v>
      </c>
      <c r="J30" s="10" t="n">
        <v>0.4053</v>
      </c>
      <c r="K30" s="10" t="n">
        <v>0.2274</v>
      </c>
      <c r="L30" s="10" t="n">
        <v>0.2822</v>
      </c>
      <c r="M30" s="10" t="n">
        <v>0.3802</v>
      </c>
      <c r="N30" s="10" t="n">
        <v>0.1858</v>
      </c>
    </row>
    <row r="31" customFormat="false" ht="15" hidden="false" customHeight="false" outlineLevel="0" collapsed="false">
      <c r="A31" s="3" t="s">
        <v>23</v>
      </c>
      <c r="B31" s="4" t="n">
        <v>2024</v>
      </c>
      <c r="C31" s="5" t="s">
        <v>55</v>
      </c>
      <c r="D31" s="6" t="n">
        <v>0.3395</v>
      </c>
      <c r="E31" s="6" t="n">
        <v>0.4066</v>
      </c>
      <c r="F31" s="6" t="n">
        <v>0.2704</v>
      </c>
      <c r="G31" s="6" t="n">
        <v>0.3498</v>
      </c>
      <c r="H31" s="6" t="n">
        <v>0.3299</v>
      </c>
      <c r="I31" s="6" t="n">
        <v>0.0214</v>
      </c>
      <c r="J31" s="6" t="n">
        <v>0.4066</v>
      </c>
      <c r="K31" s="6" t="n">
        <v>0.2286</v>
      </c>
      <c r="L31" s="6" t="n">
        <v>0.2844</v>
      </c>
      <c r="M31" s="6" t="n">
        <v>0.3828</v>
      </c>
      <c r="N31" s="6" t="n">
        <v>0.187</v>
      </c>
    </row>
    <row r="32" customFormat="false" ht="15" hidden="false" customHeight="false" outlineLevel="0" collapsed="false">
      <c r="A32" s="7" t="s">
        <v>25</v>
      </c>
      <c r="B32" s="8" t="n">
        <v>2024</v>
      </c>
      <c r="C32" s="9" t="s">
        <v>56</v>
      </c>
      <c r="D32" s="10" t="n">
        <v>0.3419</v>
      </c>
      <c r="E32" s="10" t="n">
        <v>0.4087</v>
      </c>
      <c r="F32" s="10" t="n">
        <v>0.274</v>
      </c>
      <c r="G32" s="10" t="n">
        <v>0.3524</v>
      </c>
      <c r="H32" s="10" t="n">
        <v>0.3322</v>
      </c>
      <c r="I32" s="10" t="n">
        <v>0.0231</v>
      </c>
      <c r="J32" s="10" t="n">
        <v>0.4087</v>
      </c>
      <c r="K32" s="10" t="n">
        <v>0.231</v>
      </c>
      <c r="L32" s="10" t="n">
        <v>0.2864</v>
      </c>
      <c r="M32" s="10" t="n">
        <v>0.3854</v>
      </c>
      <c r="N32" s="10" t="n">
        <v>0.1892</v>
      </c>
    </row>
    <row r="33" customFormat="false" ht="15" hidden="false" customHeight="false" outlineLevel="0" collapsed="false">
      <c r="A33" s="3" t="s">
        <v>27</v>
      </c>
      <c r="B33" s="4" t="n">
        <v>2024</v>
      </c>
      <c r="C33" s="5" t="s">
        <v>57</v>
      </c>
      <c r="D33" s="6" t="n">
        <v>0.334</v>
      </c>
      <c r="E33" s="6" t="n">
        <v>0.3953</v>
      </c>
      <c r="F33" s="6" t="n">
        <v>0.2747</v>
      </c>
      <c r="G33" s="6" t="n">
        <v>0.3444</v>
      </c>
      <c r="H33" s="6" t="n">
        <v>0.324</v>
      </c>
      <c r="I33" s="6" t="n">
        <v>0.0228</v>
      </c>
      <c r="J33" s="6" t="n">
        <v>0.3953</v>
      </c>
      <c r="K33" s="6" t="n">
        <v>0.2248</v>
      </c>
      <c r="L33" s="6" t="n">
        <v>0.2784</v>
      </c>
      <c r="M33" s="6" t="n">
        <v>0.376</v>
      </c>
      <c r="N33" s="6" t="n">
        <v>0.1896</v>
      </c>
    </row>
    <row r="34" customFormat="false" ht="15" hidden="false" customHeight="false" outlineLevel="0" collapsed="false">
      <c r="A34" s="7" t="s">
        <v>29</v>
      </c>
      <c r="B34" s="8" t="n">
        <v>2024</v>
      </c>
      <c r="C34" s="9" t="s">
        <v>58</v>
      </c>
      <c r="D34" s="10" t="n">
        <v>0.3215</v>
      </c>
      <c r="E34" s="10" t="n">
        <v>0.3752</v>
      </c>
      <c r="F34" s="10" t="n">
        <v>0.2758</v>
      </c>
      <c r="G34" s="10" t="n">
        <v>0.3312</v>
      </c>
      <c r="H34" s="10" t="n">
        <v>0.3122</v>
      </c>
      <c r="I34" s="10" t="n">
        <v>0.0222</v>
      </c>
      <c r="J34" s="10" t="n">
        <v>0.3752</v>
      </c>
      <c r="K34" s="10" t="n">
        <v>0.2172</v>
      </c>
      <c r="L34" s="10" t="n">
        <v>0.2696</v>
      </c>
      <c r="M34" s="10" t="n">
        <v>0.3644</v>
      </c>
      <c r="N34" s="10" t="n">
        <v>0.1892</v>
      </c>
    </row>
    <row r="35" customFormat="false" ht="15" hidden="false" customHeight="false" outlineLevel="0" collapsed="false">
      <c r="A35" s="3" t="s">
        <v>31</v>
      </c>
      <c r="B35" s="4" t="n">
        <v>2024</v>
      </c>
      <c r="C35" s="5" t="s">
        <v>59</v>
      </c>
      <c r="D35" s="6" t="n">
        <v>0.327</v>
      </c>
      <c r="E35" s="6" t="n">
        <v>0.3777</v>
      </c>
      <c r="F35" s="6" t="n">
        <v>0.2743</v>
      </c>
      <c r="G35" s="6" t="n">
        <v>0.3372</v>
      </c>
      <c r="H35" s="6" t="n">
        <v>0.3174</v>
      </c>
      <c r="I35" s="6" t="n">
        <v>0.0252</v>
      </c>
      <c r="J35" s="6" t="n">
        <v>0.3777</v>
      </c>
      <c r="K35" s="6" t="n">
        <v>0.2206</v>
      </c>
      <c r="L35" s="6" t="n">
        <v>0.274</v>
      </c>
      <c r="M35" s="6" t="n">
        <v>0.37</v>
      </c>
      <c r="N35" s="6" t="n">
        <v>0.1888</v>
      </c>
    </row>
    <row r="36" customFormat="false" ht="15" hidden="false" customHeight="false" outlineLevel="0" collapsed="false">
      <c r="A36" s="7" t="s">
        <v>33</v>
      </c>
      <c r="B36" s="8" t="n">
        <v>2024</v>
      </c>
      <c r="C36" s="9" t="s">
        <v>60</v>
      </c>
      <c r="D36" s="10" t="n">
        <v>0.3388</v>
      </c>
      <c r="E36" s="10" t="n">
        <v>0.3916</v>
      </c>
      <c r="F36" s="10" t="n">
        <v>0.2758</v>
      </c>
      <c r="G36" s="10" t="n">
        <v>0.3484</v>
      </c>
      <c r="H36" s="10" t="n">
        <v>0.3294</v>
      </c>
      <c r="I36" s="10" t="n">
        <v>0.0334</v>
      </c>
      <c r="J36" s="10" t="n">
        <v>0.3916</v>
      </c>
      <c r="K36" s="10" t="n">
        <v>0.2284</v>
      </c>
      <c r="L36" s="10" t="n">
        <v>0.2822</v>
      </c>
      <c r="M36" s="10" t="n">
        <v>0.381</v>
      </c>
      <c r="N36" s="10" t="n">
        <v>0.192</v>
      </c>
    </row>
    <row r="37" customFormat="false" ht="15" hidden="false" customHeight="false" outlineLevel="0" collapsed="false">
      <c r="A37" s="3" t="s">
        <v>35</v>
      </c>
      <c r="B37" s="4" t="n">
        <v>2024</v>
      </c>
      <c r="C37" s="5" t="s">
        <v>61</v>
      </c>
      <c r="D37" s="6" t="n">
        <v>0.346</v>
      </c>
      <c r="E37" s="6" t="n">
        <v>0.3993</v>
      </c>
      <c r="F37" s="6" t="n">
        <v>0.2875</v>
      </c>
      <c r="G37" s="6" t="n">
        <v>0.3556</v>
      </c>
      <c r="H37" s="6" t="n">
        <v>0.3368</v>
      </c>
      <c r="I37" s="6" t="n">
        <v>0.0264</v>
      </c>
      <c r="J37" s="6" t="n">
        <v>0.3993</v>
      </c>
      <c r="K37" s="6" t="n">
        <v>0.2338</v>
      </c>
      <c r="L37" s="6" t="n">
        <v>0.2886</v>
      </c>
      <c r="M37" s="6" t="n">
        <v>0.388</v>
      </c>
      <c r="N37" s="6" t="n">
        <v>0.1956</v>
      </c>
    </row>
    <row r="38" customFormat="false" ht="15" hidden="false" customHeight="false" outlineLevel="0" collapsed="false">
      <c r="A38" s="7" t="s">
        <v>37</v>
      </c>
      <c r="B38" s="8" t="n">
        <v>2024</v>
      </c>
      <c r="C38" s="9" t="s">
        <v>62</v>
      </c>
      <c r="D38" s="10" t="n">
        <v>0.348</v>
      </c>
      <c r="E38" s="10" t="n">
        <v>0.4</v>
      </c>
      <c r="F38" s="10" t="n">
        <v>0.2928</v>
      </c>
      <c r="G38" s="10" t="n">
        <v>0.3574</v>
      </c>
      <c r="H38" s="10" t="n">
        <v>0.3388</v>
      </c>
      <c r="I38" s="10" t="n">
        <v>0.0268</v>
      </c>
      <c r="J38" s="10" t="n">
        <v>0.4</v>
      </c>
      <c r="K38" s="10" t="n">
        <v>0.2354</v>
      </c>
      <c r="L38" s="10" t="n">
        <v>0.291</v>
      </c>
      <c r="M38" s="10" t="n">
        <v>0.3906</v>
      </c>
      <c r="N38" s="10" t="n">
        <v>0.1974</v>
      </c>
    </row>
  </sheetData>
  <mergeCells count="1">
    <mergeCell ref="A1:N1"/>
  </mergeCells>
  <conditionalFormatting sqref="D3:D3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16"/>
  </cols>
  <sheetData>
    <row r="1" customFormat="false" ht="16.15" hidden="false" customHeight="true" outlineLevel="0" collapsed="false">
      <c r="A1" s="11" t="s">
        <v>63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12" t="s">
        <v>64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34.5" hidden="false" customHeight="true" outlineLevel="0" collapsed="false">
      <c r="A3" s="13" t="s">
        <v>3</v>
      </c>
      <c r="B3" s="13" t="s">
        <v>2</v>
      </c>
      <c r="C3" s="13" t="s">
        <v>65</v>
      </c>
      <c r="D3" s="13" t="s">
        <v>66</v>
      </c>
      <c r="E3" s="13" t="s">
        <v>67</v>
      </c>
      <c r="F3" s="13" t="s">
        <v>68</v>
      </c>
      <c r="G3" s="13" t="s">
        <v>69</v>
      </c>
      <c r="H3" s="13" t="s">
        <v>70</v>
      </c>
      <c r="I3" s="13" t="s">
        <v>71</v>
      </c>
      <c r="J3" s="13" t="s">
        <v>72</v>
      </c>
    </row>
    <row r="4" customFormat="false" ht="15" hidden="false" customHeight="false" outlineLevel="0" collapsed="false">
      <c r="A4" s="9" t="str">
        <f aca="false">'1. Raw Data'!C3</f>
        <v>Jan-22</v>
      </c>
      <c r="B4" s="8" t="n">
        <f aca="false">'1. Raw Data'!B3</f>
        <v>2022</v>
      </c>
      <c r="C4" s="10" t="n">
        <f aca="false">'1. Raw Data'!D3</f>
        <v>0.156</v>
      </c>
      <c r="D4" s="10" t="n">
        <f aca="false">'1. Raw Data'!E3</f>
        <v>0.1713</v>
      </c>
      <c r="E4" s="10" t="n">
        <f aca="false">'1. Raw Data'!F3</f>
        <v>0.1387</v>
      </c>
      <c r="F4" s="10" t="n">
        <f aca="false">'1. Raw Data'!I3</f>
        <v>0.0102</v>
      </c>
      <c r="G4" s="10" t="n">
        <f aca="false">D4-E4</f>
        <v>0.0326</v>
      </c>
      <c r="H4" s="9" t="s">
        <v>73</v>
      </c>
      <c r="I4" s="10" t="n">
        <f aca="false">'1. Raw Data'!G3-'1. Raw Data'!H3</f>
        <v>0.00899999999999998</v>
      </c>
      <c r="J4" s="9" t="str">
        <f aca="false">IF(C4&lt;0.2,"Moderate",IF(C4&lt;0.3,"High","Severe"))</f>
        <v>Moderate</v>
      </c>
    </row>
    <row r="5" customFormat="false" ht="15" hidden="false" customHeight="false" outlineLevel="0" collapsed="false">
      <c r="A5" s="5" t="str">
        <f aca="false">'1. Raw Data'!C4</f>
        <v>Feb-22</v>
      </c>
      <c r="B5" s="4" t="n">
        <f aca="false">'1. Raw Data'!B4</f>
        <v>2022</v>
      </c>
      <c r="C5" s="6" t="n">
        <f aca="false">'1. Raw Data'!D4</f>
        <v>0.157</v>
      </c>
      <c r="D5" s="6" t="n">
        <f aca="false">'1. Raw Data'!E4</f>
        <v>0.1711</v>
      </c>
      <c r="E5" s="6" t="n">
        <f aca="false">'1. Raw Data'!F4</f>
        <v>0.139</v>
      </c>
      <c r="F5" s="6" t="n">
        <f aca="false">'1. Raw Data'!I4</f>
        <v>0.0119</v>
      </c>
      <c r="G5" s="6" t="n">
        <f aca="false">D5-E5</f>
        <v>0.0321</v>
      </c>
      <c r="H5" s="6" t="n">
        <f aca="false">C5-C4</f>
        <v>0.001</v>
      </c>
      <c r="I5" s="6" t="n">
        <f aca="false">'1. Raw Data'!G4-'1. Raw Data'!H4</f>
        <v>0.00939999999999999</v>
      </c>
      <c r="J5" s="5" t="str">
        <f aca="false">IF(C5&lt;0.2,"Moderate",IF(C5&lt;0.3,"High","Severe"))</f>
        <v>Moderate</v>
      </c>
    </row>
    <row r="6" customFormat="false" ht="15" hidden="false" customHeight="false" outlineLevel="0" collapsed="false">
      <c r="A6" s="9" t="str">
        <f aca="false">'1. Raw Data'!C5</f>
        <v>Mar-22</v>
      </c>
      <c r="B6" s="8" t="n">
        <f aca="false">'1. Raw Data'!B5</f>
        <v>2022</v>
      </c>
      <c r="C6" s="10" t="n">
        <f aca="false">'1. Raw Data'!D5</f>
        <v>0.1592</v>
      </c>
      <c r="D6" s="10" t="n">
        <f aca="false">'1. Raw Data'!E5</f>
        <v>0.172</v>
      </c>
      <c r="E6" s="10" t="n">
        <f aca="false">'1. Raw Data'!F5</f>
        <v>0.1396</v>
      </c>
      <c r="F6" s="10" t="n">
        <f aca="false">'1. Raw Data'!I5</f>
        <v>0.0124</v>
      </c>
      <c r="G6" s="10" t="n">
        <f aca="false">D6-E6</f>
        <v>0.0324</v>
      </c>
      <c r="H6" s="10" t="n">
        <f aca="false">C6-C5</f>
        <v>0.00220000000000001</v>
      </c>
      <c r="I6" s="10" t="n">
        <f aca="false">'1. Raw Data'!G5-'1. Raw Data'!H5</f>
        <v>0.0098</v>
      </c>
      <c r="J6" s="9" t="str">
        <f aca="false">IF(C6&lt;0.2,"Moderate",IF(C6&lt;0.3,"High","Severe"))</f>
        <v>Moderate</v>
      </c>
    </row>
    <row r="7" customFormat="false" ht="15" hidden="false" customHeight="false" outlineLevel="0" collapsed="false">
      <c r="A7" s="5" t="str">
        <f aca="false">'1. Raw Data'!C6</f>
        <v>Apr-22</v>
      </c>
      <c r="B7" s="4" t="n">
        <f aca="false">'1. Raw Data'!B6</f>
        <v>2022</v>
      </c>
      <c r="C7" s="6" t="n">
        <f aca="false">'1. Raw Data'!D6</f>
        <v>0.1682</v>
      </c>
      <c r="D7" s="6" t="n">
        <f aca="false">'1. Raw Data'!E6</f>
        <v>0.1837</v>
      </c>
      <c r="E7" s="6" t="n">
        <f aca="false">'1. Raw Data'!F6</f>
        <v>0.1418</v>
      </c>
      <c r="F7" s="6" t="n">
        <f aca="false">'1. Raw Data'!I6</f>
        <v>0.0176</v>
      </c>
      <c r="G7" s="6" t="n">
        <f aca="false">D7-E7</f>
        <v>0.0419</v>
      </c>
      <c r="H7" s="6" t="n">
        <f aca="false">C7-C6</f>
        <v>0.00899999999999998</v>
      </c>
      <c r="I7" s="6" t="n">
        <f aca="false">'1. Raw Data'!G6-'1. Raw Data'!H6</f>
        <v>0.00569999999999998</v>
      </c>
      <c r="J7" s="5" t="str">
        <f aca="false">IF(C7&lt;0.2,"Moderate",IF(C7&lt;0.3,"High","Severe"))</f>
        <v>Moderate</v>
      </c>
    </row>
    <row r="8" customFormat="false" ht="15" hidden="false" customHeight="false" outlineLevel="0" collapsed="false">
      <c r="A8" s="9" t="str">
        <f aca="false">'1. Raw Data'!C7</f>
        <v>May-22</v>
      </c>
      <c r="B8" s="8" t="n">
        <f aca="false">'1. Raw Data'!B7</f>
        <v>2022</v>
      </c>
      <c r="C8" s="10" t="n">
        <f aca="false">'1. Raw Data'!D7</f>
        <v>0.1771</v>
      </c>
      <c r="D8" s="10" t="n">
        <f aca="false">'1. Raw Data'!E7</f>
        <v>0.1919</v>
      </c>
      <c r="E8" s="10" t="n">
        <f aca="false">'1. Raw Data'!F7</f>
        <v>0.1505</v>
      </c>
      <c r="F8" s="10" t="n">
        <f aca="false">'1. Raw Data'!I7</f>
        <v>0.0178</v>
      </c>
      <c r="G8" s="10" t="n">
        <f aca="false">D8-E8</f>
        <v>0.0414</v>
      </c>
      <c r="H8" s="10" t="n">
        <f aca="false">C8-C7</f>
        <v>0.00890000000000002</v>
      </c>
      <c r="I8" s="10" t="n">
        <f aca="false">'1. Raw Data'!G7-'1. Raw Data'!H7</f>
        <v>0.0073</v>
      </c>
      <c r="J8" s="9" t="str">
        <f aca="false">IF(C8&lt;0.2,"Moderate",IF(C8&lt;0.3,"High","Severe"))</f>
        <v>Moderate</v>
      </c>
    </row>
    <row r="9" customFormat="false" ht="15" hidden="false" customHeight="false" outlineLevel="0" collapsed="false">
      <c r="A9" s="5" t="str">
        <f aca="false">'1. Raw Data'!C8</f>
        <v>Jun-22</v>
      </c>
      <c r="B9" s="4" t="n">
        <f aca="false">'1. Raw Data'!B8</f>
        <v>2022</v>
      </c>
      <c r="C9" s="6" t="n">
        <f aca="false">'1. Raw Data'!D8</f>
        <v>0.186</v>
      </c>
      <c r="D9" s="6" t="n">
        <f aca="false">'1. Raw Data'!E8</f>
        <v>0.206</v>
      </c>
      <c r="E9" s="6" t="n">
        <f aca="false">'1. Raw Data'!F8</f>
        <v>0.1575</v>
      </c>
      <c r="F9" s="6" t="n">
        <f aca="false">'1. Raw Data'!I8</f>
        <v>0.0182</v>
      </c>
      <c r="G9" s="6" t="n">
        <f aca="false">D9-E9</f>
        <v>0.0485</v>
      </c>
      <c r="H9" s="6" t="n">
        <f aca="false">C9-C8</f>
        <v>0.00889999999999999</v>
      </c>
      <c r="I9" s="6" t="n">
        <f aca="false">'1. Raw Data'!G8-'1. Raw Data'!H8</f>
        <v>0.01</v>
      </c>
      <c r="J9" s="5" t="str">
        <f aca="false">IF(C9&lt;0.2,"Moderate",IF(C9&lt;0.3,"High","Severe"))</f>
        <v>Moderate</v>
      </c>
    </row>
    <row r="10" customFormat="false" ht="15" hidden="false" customHeight="false" outlineLevel="0" collapsed="false">
      <c r="A10" s="9" t="str">
        <f aca="false">'1. Raw Data'!C9</f>
        <v>Jul-22</v>
      </c>
      <c r="B10" s="8" t="n">
        <f aca="false">'1. Raw Data'!B9</f>
        <v>2022</v>
      </c>
      <c r="C10" s="10" t="n">
        <f aca="false">'1. Raw Data'!D9</f>
        <v>0.1964</v>
      </c>
      <c r="D10" s="10" t="n">
        <f aca="false">'1. Raw Data'!E9</f>
        <v>0.2202</v>
      </c>
      <c r="E10" s="10" t="n">
        <f aca="false">'1. Raw Data'!F9</f>
        <v>0.1626</v>
      </c>
      <c r="F10" s="10" t="n">
        <f aca="false">'1. Raw Data'!I9</f>
        <v>0.0189</v>
      </c>
      <c r="G10" s="10" t="n">
        <f aca="false">D10-E10</f>
        <v>0.0576</v>
      </c>
      <c r="H10" s="10" t="n">
        <f aca="false">C10-C9</f>
        <v>0.0104</v>
      </c>
      <c r="I10" s="10" t="n">
        <f aca="false">'1. Raw Data'!G9-'1. Raw Data'!H9</f>
        <v>0.00939999999999999</v>
      </c>
      <c r="J10" s="9" t="str">
        <f aca="false">IF(C10&lt;0.2,"Moderate",IF(C10&lt;0.3,"High","Severe"))</f>
        <v>Moderate</v>
      </c>
    </row>
    <row r="11" customFormat="false" ht="15" hidden="false" customHeight="false" outlineLevel="0" collapsed="false">
      <c r="A11" s="5" t="str">
        <f aca="false">'1. Raw Data'!C10</f>
        <v>Aug-22</v>
      </c>
      <c r="B11" s="4" t="n">
        <f aca="false">'1. Raw Data'!B10</f>
        <v>2022</v>
      </c>
      <c r="C11" s="6" t="n">
        <f aca="false">'1. Raw Data'!D10</f>
        <v>0.2052</v>
      </c>
      <c r="D11" s="6" t="n">
        <f aca="false">'1. Raw Data'!E10</f>
        <v>0.2312</v>
      </c>
      <c r="E11" s="6" t="n">
        <f aca="false">'1. Raw Data'!F10</f>
        <v>0.172</v>
      </c>
      <c r="F11" s="6" t="n">
        <f aca="false">'1. Raw Data'!I10</f>
        <v>0.0177</v>
      </c>
      <c r="G11" s="6" t="n">
        <f aca="false">D11-E11</f>
        <v>0.0592</v>
      </c>
      <c r="H11" s="6" t="n">
        <f aca="false">C11-C10</f>
        <v>0.0088</v>
      </c>
      <c r="I11" s="6" t="n">
        <f aca="false">'1. Raw Data'!G10-'1. Raw Data'!H10</f>
        <v>0.0106</v>
      </c>
      <c r="J11" s="5" t="str">
        <f aca="false">IF(C11&lt;0.2,"Moderate",IF(C11&lt;0.3,"High","Severe"))</f>
        <v>High</v>
      </c>
    </row>
    <row r="12" customFormat="false" ht="15" hidden="false" customHeight="false" outlineLevel="0" collapsed="false">
      <c r="A12" s="9" t="str">
        <f aca="false">'1. Raw Data'!C11</f>
        <v>Sep-22</v>
      </c>
      <c r="B12" s="8" t="n">
        <f aca="false">'1. Raw Data'!B11</f>
        <v>2022</v>
      </c>
      <c r="C12" s="10" t="n">
        <f aca="false">'1. Raw Data'!D11</f>
        <v>0.2077</v>
      </c>
      <c r="D12" s="10" t="n">
        <f aca="false">'1. Raw Data'!E11</f>
        <v>0.2334</v>
      </c>
      <c r="E12" s="10" t="n">
        <f aca="false">'1. Raw Data'!F11</f>
        <v>0.1763</v>
      </c>
      <c r="F12" s="10" t="n">
        <f aca="false">'1. Raw Data'!I11</f>
        <v>0.0136</v>
      </c>
      <c r="G12" s="10" t="n">
        <f aca="false">D12-E12</f>
        <v>0.0571</v>
      </c>
      <c r="H12" s="10" t="n">
        <f aca="false">C12-C11</f>
        <v>0.0025</v>
      </c>
      <c r="I12" s="10" t="n">
        <f aca="false">'1. Raw Data'!G11-'1. Raw Data'!H11</f>
        <v>0.0105</v>
      </c>
      <c r="J12" s="9" t="str">
        <f aca="false">IF(C12&lt;0.2,"Moderate",IF(C12&lt;0.3,"High","Severe"))</f>
        <v>High</v>
      </c>
    </row>
    <row r="13" customFormat="false" ht="15" hidden="false" customHeight="false" outlineLevel="0" collapsed="false">
      <c r="A13" s="5" t="str">
        <f aca="false">'1. Raw Data'!C12</f>
        <v>Oct-22</v>
      </c>
      <c r="B13" s="4" t="n">
        <f aca="false">'1. Raw Data'!B12</f>
        <v>2022</v>
      </c>
      <c r="C13" s="6" t="n">
        <f aca="false">'1. Raw Data'!D12</f>
        <v>0.2109</v>
      </c>
      <c r="D13" s="6" t="n">
        <f aca="false">'1. Raw Data'!E12</f>
        <v>0.2372</v>
      </c>
      <c r="E13" s="6" t="n">
        <f aca="false">'1. Raw Data'!F12</f>
        <v>0.1776</v>
      </c>
      <c r="F13" s="6" t="n">
        <f aca="false">'1. Raw Data'!I12</f>
        <v>0.0124</v>
      </c>
      <c r="G13" s="6" t="n">
        <f aca="false">D13-E13</f>
        <v>0.0596</v>
      </c>
      <c r="H13" s="6" t="n">
        <f aca="false">C13-C12</f>
        <v>0.00320000000000001</v>
      </c>
      <c r="I13" s="6" t="n">
        <f aca="false">'1. Raw Data'!G12-'1. Raw Data'!H12</f>
        <v>0.0128</v>
      </c>
      <c r="J13" s="5" t="str">
        <f aca="false">IF(C13&lt;0.2,"Moderate",IF(C13&lt;0.3,"High","Severe"))</f>
        <v>High</v>
      </c>
    </row>
    <row r="14" customFormat="false" ht="15" hidden="false" customHeight="false" outlineLevel="0" collapsed="false">
      <c r="A14" s="9" t="str">
        <f aca="false">'1. Raw Data'!C13</f>
        <v>Nov-22</v>
      </c>
      <c r="B14" s="8" t="n">
        <f aca="false">'1. Raw Data'!B13</f>
        <v>2022</v>
      </c>
      <c r="C14" s="10" t="n">
        <f aca="false">'1. Raw Data'!D13</f>
        <v>0.2147</v>
      </c>
      <c r="D14" s="10" t="n">
        <f aca="false">'1. Raw Data'!E13</f>
        <v>0.2413</v>
      </c>
      <c r="E14" s="10" t="n">
        <f aca="false">'1. Raw Data'!F13</f>
        <v>0.1802</v>
      </c>
      <c r="F14" s="10" t="n">
        <f aca="false">'1. Raw Data'!I13</f>
        <v>0.0139</v>
      </c>
      <c r="G14" s="10" t="n">
        <f aca="false">D14-E14</f>
        <v>0.0611</v>
      </c>
      <c r="H14" s="10" t="n">
        <f aca="false">C14-C13</f>
        <v>0.0038</v>
      </c>
      <c r="I14" s="10" t="n">
        <f aca="false">'1. Raw Data'!G13-'1. Raw Data'!H13</f>
        <v>0.0118</v>
      </c>
      <c r="J14" s="9" t="str">
        <f aca="false">IF(C14&lt;0.2,"Moderate",IF(C14&lt;0.3,"High","Severe"))</f>
        <v>High</v>
      </c>
    </row>
    <row r="15" customFormat="false" ht="15" hidden="false" customHeight="false" outlineLevel="0" collapsed="false">
      <c r="A15" s="5" t="str">
        <f aca="false">'1. Raw Data'!C14</f>
        <v>Dec-22</v>
      </c>
      <c r="B15" s="4" t="n">
        <f aca="false">'1. Raw Data'!B14</f>
        <v>2022</v>
      </c>
      <c r="C15" s="6" t="n">
        <f aca="false">'1. Raw Data'!D14</f>
        <v>0.2134</v>
      </c>
      <c r="D15" s="6" t="n">
        <f aca="false">'1. Raw Data'!E14</f>
        <v>0.2375</v>
      </c>
      <c r="E15" s="6" t="n">
        <f aca="false">'1. Raw Data'!F14</f>
        <v>0.1784</v>
      </c>
      <c r="F15" s="6" t="n">
        <f aca="false">'1. Raw Data'!I14</f>
        <v>0.0102</v>
      </c>
      <c r="G15" s="6" t="n">
        <f aca="false">D15-E15</f>
        <v>0.0591</v>
      </c>
      <c r="H15" s="6" t="n">
        <f aca="false">C15-C14</f>
        <v>-0.0013</v>
      </c>
      <c r="I15" s="6" t="n">
        <f aca="false">'1. Raw Data'!G14-'1. Raw Data'!H14</f>
        <v>0.0117</v>
      </c>
      <c r="J15" s="5" t="str">
        <f aca="false">IF(C15&lt;0.2,"Moderate",IF(C15&lt;0.3,"High","Severe"))</f>
        <v>High</v>
      </c>
    </row>
    <row r="16" customFormat="false" ht="15" hidden="false" customHeight="false" outlineLevel="0" collapsed="false">
      <c r="A16" s="9" t="str">
        <f aca="false">'1. Raw Data'!C15</f>
        <v>Jan-23</v>
      </c>
      <c r="B16" s="8" t="n">
        <f aca="false">'1. Raw Data'!B15</f>
        <v>2023</v>
      </c>
      <c r="C16" s="10" t="n">
        <f aca="false">'1. Raw Data'!D15</f>
        <v>0.2182</v>
      </c>
      <c r="D16" s="10" t="n">
        <f aca="false">'1. Raw Data'!E15</f>
        <v>0.2432</v>
      </c>
      <c r="E16" s="10" t="n">
        <f aca="false">'1. Raw Data'!F15</f>
        <v>0.1884</v>
      </c>
      <c r="F16" s="10" t="n">
        <f aca="false">'1. Raw Data'!I15</f>
        <v>0.0116</v>
      </c>
      <c r="G16" s="10" t="n">
        <f aca="false">D16-E16</f>
        <v>0.0548</v>
      </c>
      <c r="H16" s="10" t="n">
        <f aca="false">C16-C15</f>
        <v>0.0048</v>
      </c>
      <c r="I16" s="10" t="n">
        <f aca="false">'1. Raw Data'!G15-'1. Raw Data'!H15</f>
        <v>0.0155</v>
      </c>
      <c r="J16" s="9" t="str">
        <f aca="false">IF(C16&lt;0.2,"Moderate",IF(C16&lt;0.3,"High","Severe"))</f>
        <v>High</v>
      </c>
    </row>
    <row r="17" customFormat="false" ht="15" hidden="false" customHeight="false" outlineLevel="0" collapsed="false">
      <c r="A17" s="5" t="str">
        <f aca="false">'1. Raw Data'!C16</f>
        <v>Feb-23</v>
      </c>
      <c r="B17" s="4" t="n">
        <f aca="false">'1. Raw Data'!B16</f>
        <v>2023</v>
      </c>
      <c r="C17" s="6" t="n">
        <f aca="false">'1. Raw Data'!D16</f>
        <v>0.2191</v>
      </c>
      <c r="D17" s="6" t="n">
        <f aca="false">'1. Raw Data'!E16</f>
        <v>0.2435</v>
      </c>
      <c r="E17" s="6" t="n">
        <f aca="false">'1. Raw Data'!F16</f>
        <v>0.1913</v>
      </c>
      <c r="F17" s="6" t="n">
        <f aca="false">'1. Raw Data'!I16</f>
        <v>0.0171</v>
      </c>
      <c r="G17" s="6" t="n">
        <f aca="false">D17-E17</f>
        <v>0.0522</v>
      </c>
      <c r="H17" s="6" t="n">
        <f aca="false">C17-C16</f>
        <v>0.000899999999999984</v>
      </c>
      <c r="I17" s="6" t="n">
        <f aca="false">'1. Raw Data'!G16-'1. Raw Data'!H16</f>
        <v>0.0151</v>
      </c>
      <c r="J17" s="5" t="str">
        <f aca="false">IF(C17&lt;0.2,"Moderate",IF(C17&lt;0.3,"High","Severe"))</f>
        <v>High</v>
      </c>
    </row>
    <row r="18" customFormat="false" ht="15" hidden="false" customHeight="false" outlineLevel="0" collapsed="false">
      <c r="A18" s="9" t="str">
        <f aca="false">'1. Raw Data'!C17</f>
        <v>Mar-23</v>
      </c>
      <c r="B18" s="8" t="n">
        <f aca="false">'1. Raw Data'!B17</f>
        <v>2023</v>
      </c>
      <c r="C18" s="10" t="n">
        <f aca="false">'1. Raw Data'!D17</f>
        <v>0.2204</v>
      </c>
      <c r="D18" s="10" t="n">
        <f aca="false">'1. Raw Data'!E17</f>
        <v>0.2445</v>
      </c>
      <c r="E18" s="10" t="n">
        <f aca="false">'1. Raw Data'!F17</f>
        <v>0.1924</v>
      </c>
      <c r="F18" s="10" t="n">
        <f aca="false">'1. Raw Data'!I17</f>
        <v>0.0186</v>
      </c>
      <c r="G18" s="10" t="n">
        <f aca="false">D18-E18</f>
        <v>0.0521</v>
      </c>
      <c r="H18" s="10" t="n">
        <f aca="false">C18-C17</f>
        <v>0.00130000000000002</v>
      </c>
      <c r="I18" s="10" t="n">
        <f aca="false">'1. Raw Data'!G17-'1. Raw Data'!H17</f>
        <v>0.015</v>
      </c>
      <c r="J18" s="9" t="str">
        <f aca="false">IF(C18&lt;0.2,"Moderate",IF(C18&lt;0.3,"High","Severe"))</f>
        <v>High</v>
      </c>
    </row>
    <row r="19" customFormat="false" ht="15" hidden="false" customHeight="false" outlineLevel="0" collapsed="false">
      <c r="A19" s="5" t="str">
        <f aca="false">'1. Raw Data'!C18</f>
        <v>Apr-23</v>
      </c>
      <c r="B19" s="4" t="n">
        <f aca="false">'1. Raw Data'!B18</f>
        <v>2023</v>
      </c>
      <c r="C19" s="6" t="n">
        <f aca="false">'1. Raw Data'!D18</f>
        <v>0.2222</v>
      </c>
      <c r="D19" s="6" t="n">
        <f aca="false">'1. Raw Data'!E18</f>
        <v>0.2461</v>
      </c>
      <c r="E19" s="6" t="n">
        <f aca="false">'1. Raw Data'!F18</f>
        <v>0.1954</v>
      </c>
      <c r="F19" s="6" t="n">
        <f aca="false">'1. Raw Data'!I18</f>
        <v>0.019</v>
      </c>
      <c r="G19" s="6" t="n">
        <f aca="false">D19-E19</f>
        <v>0.0507</v>
      </c>
      <c r="H19" s="6" t="n">
        <f aca="false">C19-C18</f>
        <v>0.0018</v>
      </c>
      <c r="I19" s="6" t="n">
        <f aca="false">'1. Raw Data'!G18-'1. Raw Data'!H18</f>
        <v>0.0154</v>
      </c>
      <c r="J19" s="5" t="str">
        <f aca="false">IF(C19&lt;0.2,"Moderate",IF(C19&lt;0.3,"High","Severe"))</f>
        <v>High</v>
      </c>
    </row>
    <row r="20" customFormat="false" ht="15" hidden="false" customHeight="false" outlineLevel="0" collapsed="false">
      <c r="A20" s="9" t="str">
        <f aca="false">'1. Raw Data'!C19</f>
        <v>May-23</v>
      </c>
      <c r="B20" s="8" t="n">
        <f aca="false">'1. Raw Data'!B19</f>
        <v>2023</v>
      </c>
      <c r="C20" s="10" t="n">
        <f aca="false">'1. Raw Data'!D19</f>
        <v>0.2241</v>
      </c>
      <c r="D20" s="10" t="n">
        <f aca="false">'1. Raw Data'!E19</f>
        <v>0.2482</v>
      </c>
      <c r="E20" s="10" t="n">
        <f aca="false">'1. Raw Data'!F19</f>
        <v>0.1986</v>
      </c>
      <c r="F20" s="10" t="n">
        <f aca="false">'1. Raw Data'!I19</f>
        <v>0.0194</v>
      </c>
      <c r="G20" s="10" t="n">
        <f aca="false">D20-E20</f>
        <v>0.0496</v>
      </c>
      <c r="H20" s="10" t="n">
        <f aca="false">C20-C19</f>
        <v>0.00189999999999999</v>
      </c>
      <c r="I20" s="10" t="n">
        <f aca="false">'1. Raw Data'!G19-'1. Raw Data'!H19</f>
        <v>0.0164</v>
      </c>
      <c r="J20" s="9" t="str">
        <f aca="false">IF(C20&lt;0.2,"Moderate",IF(C20&lt;0.3,"High","Severe"))</f>
        <v>High</v>
      </c>
    </row>
    <row r="21" customFormat="false" ht="15" hidden="false" customHeight="false" outlineLevel="0" collapsed="false">
      <c r="A21" s="5" t="str">
        <f aca="false">'1. Raw Data'!C20</f>
        <v>Jun-23</v>
      </c>
      <c r="B21" s="4" t="n">
        <f aca="false">'1. Raw Data'!B20</f>
        <v>2023</v>
      </c>
      <c r="C21" s="6" t="n">
        <f aca="false">'1. Raw Data'!D20</f>
        <v>0.2279</v>
      </c>
      <c r="D21" s="6" t="n">
        <f aca="false">'1. Raw Data'!E20</f>
        <v>0.2525</v>
      </c>
      <c r="E21" s="6" t="n">
        <f aca="false">'1. Raw Data'!F20</f>
        <v>0.2027</v>
      </c>
      <c r="F21" s="6" t="n">
        <f aca="false">'1. Raw Data'!I20</f>
        <v>0.0213</v>
      </c>
      <c r="G21" s="6" t="n">
        <f aca="false">D21-E21</f>
        <v>0.0498</v>
      </c>
      <c r="H21" s="6" t="n">
        <f aca="false">C21-C20</f>
        <v>0.0038</v>
      </c>
      <c r="I21" s="6" t="n">
        <f aca="false">'1. Raw Data'!G20-'1. Raw Data'!H20</f>
        <v>0.0167</v>
      </c>
      <c r="J21" s="5" t="str">
        <f aca="false">IF(C21&lt;0.2,"Moderate",IF(C21&lt;0.3,"High","Severe"))</f>
        <v>High</v>
      </c>
    </row>
    <row r="22" customFormat="false" ht="15" hidden="false" customHeight="false" outlineLevel="0" collapsed="false">
      <c r="A22" s="9" t="str">
        <f aca="false">'1. Raw Data'!C21</f>
        <v>Jul-23</v>
      </c>
      <c r="B22" s="8" t="n">
        <f aca="false">'1. Raw Data'!B21</f>
        <v>2023</v>
      </c>
      <c r="C22" s="10" t="n">
        <f aca="false">'1. Raw Data'!D21</f>
        <v>0.2408</v>
      </c>
      <c r="D22" s="10" t="n">
        <f aca="false">'1. Raw Data'!E21</f>
        <v>0.2698</v>
      </c>
      <c r="E22" s="10" t="n">
        <f aca="false">'1. Raw Data'!F21</f>
        <v>0.2047</v>
      </c>
      <c r="F22" s="10" t="n">
        <f aca="false">'1. Raw Data'!I21</f>
        <v>0.0289</v>
      </c>
      <c r="G22" s="10" t="n">
        <f aca="false">D22-E22</f>
        <v>0.0651</v>
      </c>
      <c r="H22" s="10" t="n">
        <f aca="false">C22-C21</f>
        <v>0.0129</v>
      </c>
      <c r="I22" s="10" t="n">
        <f aca="false">'1. Raw Data'!G21-'1. Raw Data'!H21</f>
        <v>0.0147</v>
      </c>
      <c r="J22" s="9" t="str">
        <f aca="false">IF(C22&lt;0.2,"Moderate",IF(C22&lt;0.3,"High","Severe"))</f>
        <v>High</v>
      </c>
    </row>
    <row r="23" customFormat="false" ht="15" hidden="false" customHeight="false" outlineLevel="0" collapsed="false">
      <c r="A23" s="5" t="str">
        <f aca="false">'1. Raw Data'!C22</f>
        <v>Aug-23</v>
      </c>
      <c r="B23" s="4" t="n">
        <f aca="false">'1. Raw Data'!B22</f>
        <v>2023</v>
      </c>
      <c r="C23" s="6" t="n">
        <f aca="false">'1. Raw Data'!D22</f>
        <v>0.258</v>
      </c>
      <c r="D23" s="6" t="n">
        <f aca="false">'1. Raw Data'!E22</f>
        <v>0.2934</v>
      </c>
      <c r="E23" s="6" t="n">
        <f aca="false">'1. Raw Data'!F22</f>
        <v>0.2149</v>
      </c>
      <c r="F23" s="6" t="n">
        <f aca="false">'1. Raw Data'!I22</f>
        <v>0.0318</v>
      </c>
      <c r="G23" s="6" t="n">
        <f aca="false">D23-E23</f>
        <v>0.0785</v>
      </c>
      <c r="H23" s="6" t="n">
        <f aca="false">C23-C22</f>
        <v>0.0172</v>
      </c>
      <c r="I23" s="6" t="n">
        <f aca="false">'1. Raw Data'!G22-'1. Raw Data'!H22</f>
        <v>0.0146</v>
      </c>
      <c r="J23" s="5" t="str">
        <f aca="false">IF(C23&lt;0.2,"Moderate",IF(C23&lt;0.3,"High","Severe"))</f>
        <v>High</v>
      </c>
    </row>
    <row r="24" customFormat="false" ht="15" hidden="false" customHeight="false" outlineLevel="0" collapsed="false">
      <c r="A24" s="9" t="str">
        <f aca="false">'1. Raw Data'!C23</f>
        <v>Sep-23</v>
      </c>
      <c r="B24" s="8" t="n">
        <f aca="false">'1. Raw Data'!B23</f>
        <v>2023</v>
      </c>
      <c r="C24" s="10" t="n">
        <f aca="false">'1. Raw Data'!D23</f>
        <v>0.2672</v>
      </c>
      <c r="D24" s="10" t="n">
        <f aca="false">'1. Raw Data'!E23</f>
        <v>0.3064</v>
      </c>
      <c r="E24" s="10" t="n">
        <f aca="false">'1. Raw Data'!F23</f>
        <v>0.2184</v>
      </c>
      <c r="F24" s="10" t="n">
        <f aca="false">'1. Raw Data'!I23</f>
        <v>0.0216</v>
      </c>
      <c r="G24" s="10" t="n">
        <f aca="false">D24-E24</f>
        <v>0.088</v>
      </c>
      <c r="H24" s="10" t="n">
        <f aca="false">C24-C23</f>
        <v>0.00919999999999999</v>
      </c>
      <c r="I24" s="10" t="n">
        <f aca="false">'1. Raw Data'!G23-'1. Raw Data'!H23</f>
        <v>0.0158</v>
      </c>
      <c r="J24" s="9" t="str">
        <f aca="false">IF(C24&lt;0.2,"Moderate",IF(C24&lt;0.3,"High","Severe"))</f>
        <v>High</v>
      </c>
    </row>
    <row r="25" customFormat="false" ht="15" hidden="false" customHeight="false" outlineLevel="0" collapsed="false">
      <c r="A25" s="5" t="str">
        <f aca="false">'1. Raw Data'!C24</f>
        <v>Oct-23</v>
      </c>
      <c r="B25" s="4" t="n">
        <f aca="false">'1. Raw Data'!B24</f>
        <v>2023</v>
      </c>
      <c r="C25" s="6" t="n">
        <f aca="false">'1. Raw Data'!D24</f>
        <v>0.2733</v>
      </c>
      <c r="D25" s="6" t="n">
        <f aca="false">'1. Raw Data'!E24</f>
        <v>0.3152</v>
      </c>
      <c r="E25" s="6" t="n">
        <f aca="false">'1. Raw Data'!F24</f>
        <v>0.2238</v>
      </c>
      <c r="F25" s="6" t="n">
        <f aca="false">'1. Raw Data'!I24</f>
        <v>0.0173</v>
      </c>
      <c r="G25" s="6" t="n">
        <f aca="false">D25-E25</f>
        <v>0.0914</v>
      </c>
      <c r="H25" s="6" t="n">
        <f aca="false">C25-C24</f>
        <v>0.00609999999999999</v>
      </c>
      <c r="I25" s="6" t="n">
        <f aca="false">'1. Raw Data'!G24-'1. Raw Data'!H24</f>
        <v>0.017</v>
      </c>
      <c r="J25" s="5" t="str">
        <f aca="false">IF(C25&lt;0.2,"Moderate",IF(C25&lt;0.3,"High","Severe"))</f>
        <v>High</v>
      </c>
    </row>
    <row r="26" customFormat="false" ht="15" hidden="false" customHeight="false" outlineLevel="0" collapsed="false">
      <c r="A26" s="9" t="str">
        <f aca="false">'1. Raw Data'!C25</f>
        <v>Nov-23</v>
      </c>
      <c r="B26" s="8" t="n">
        <f aca="false">'1. Raw Data'!B25</f>
        <v>2023</v>
      </c>
      <c r="C26" s="10" t="n">
        <f aca="false">'1. Raw Data'!D25</f>
        <v>0.282</v>
      </c>
      <c r="D26" s="10" t="n">
        <f aca="false">'1. Raw Data'!E25</f>
        <v>0.3284</v>
      </c>
      <c r="E26" s="10" t="n">
        <f aca="false">'1. Raw Data'!F25</f>
        <v>0.228</v>
      </c>
      <c r="F26" s="10" t="n">
        <f aca="false">'1. Raw Data'!I25</f>
        <v>0.0209</v>
      </c>
      <c r="G26" s="10" t="n">
        <f aca="false">D26-E26</f>
        <v>0.1004</v>
      </c>
      <c r="H26" s="10" t="n">
        <f aca="false">C26-C25</f>
        <v>0.00869999999999999</v>
      </c>
      <c r="I26" s="10" t="n">
        <f aca="false">'1. Raw Data'!G25-'1. Raw Data'!H25</f>
        <v>0.0164</v>
      </c>
      <c r="J26" s="9" t="str">
        <f aca="false">IF(C26&lt;0.2,"Moderate",IF(C26&lt;0.3,"High","Severe"))</f>
        <v>High</v>
      </c>
    </row>
    <row r="27" customFormat="false" ht="15" hidden="false" customHeight="false" outlineLevel="0" collapsed="false">
      <c r="A27" s="5" t="str">
        <f aca="false">'1. Raw Data'!C26</f>
        <v>Dec-23</v>
      </c>
      <c r="B27" s="4" t="n">
        <f aca="false">'1. Raw Data'!B26</f>
        <v>2023</v>
      </c>
      <c r="C27" s="6" t="n">
        <f aca="false">'1. Raw Data'!D26</f>
        <v>0.2892</v>
      </c>
      <c r="D27" s="6" t="n">
        <f aca="false">'1. Raw Data'!E26</f>
        <v>0.3393</v>
      </c>
      <c r="E27" s="6" t="n">
        <f aca="false">'1. Raw Data'!F26</f>
        <v>0.2306</v>
      </c>
      <c r="F27" s="6" t="n">
        <f aca="false">'1. Raw Data'!I26</f>
        <v>0.0229</v>
      </c>
      <c r="G27" s="6" t="n">
        <f aca="false">D27-E27</f>
        <v>0.1087</v>
      </c>
      <c r="H27" s="6" t="n">
        <f aca="false">C27-C26</f>
        <v>0.00720000000000004</v>
      </c>
      <c r="I27" s="6" t="n">
        <f aca="false">'1. Raw Data'!G26-'1. Raw Data'!H26</f>
        <v>0.0174</v>
      </c>
      <c r="J27" s="5" t="str">
        <f aca="false">IF(C27&lt;0.2,"Moderate",IF(C27&lt;0.3,"High","Severe"))</f>
        <v>High</v>
      </c>
    </row>
    <row r="28" customFormat="false" ht="15" hidden="false" customHeight="false" outlineLevel="0" collapsed="false">
      <c r="A28" s="9" t="str">
        <f aca="false">'1. Raw Data'!C27</f>
        <v>Jan-24</v>
      </c>
      <c r="B28" s="8" t="n">
        <f aca="false">'1. Raw Data'!B27</f>
        <v>2024</v>
      </c>
      <c r="C28" s="10" t="n">
        <f aca="false">'1. Raw Data'!D27</f>
        <v>0.299</v>
      </c>
      <c r="D28" s="10" t="n">
        <f aca="false">'1. Raw Data'!E27</f>
        <v>0.3541</v>
      </c>
      <c r="E28" s="10" t="n">
        <f aca="false">'1. Raw Data'!F27</f>
        <v>0.2359</v>
      </c>
      <c r="F28" s="10" t="n">
        <f aca="false">'1. Raw Data'!I27</f>
        <v>0.0264</v>
      </c>
      <c r="G28" s="10" t="n">
        <f aca="false">D28-E28</f>
        <v>0.1182</v>
      </c>
      <c r="H28" s="10" t="n">
        <f aca="false">C28-C27</f>
        <v>0.00979999999999998</v>
      </c>
      <c r="I28" s="10" t="n">
        <f aca="false">'1. Raw Data'!G27-'1. Raw Data'!H27</f>
        <v>0.0174</v>
      </c>
      <c r="J28" s="9" t="str">
        <f aca="false">IF(C28&lt;0.2,"Moderate",IF(C28&lt;0.3,"High","Severe"))</f>
        <v>High</v>
      </c>
    </row>
    <row r="29" customFormat="false" ht="15" hidden="false" customHeight="false" outlineLevel="0" collapsed="false">
      <c r="A29" s="5" t="str">
        <f aca="false">'1. Raw Data'!C28</f>
        <v>Feb-24</v>
      </c>
      <c r="B29" s="4" t="n">
        <f aca="false">'1. Raw Data'!B28</f>
        <v>2024</v>
      </c>
      <c r="C29" s="6" t="n">
        <f aca="false">'1. Raw Data'!D28</f>
        <v>0.317</v>
      </c>
      <c r="D29" s="6" t="n">
        <f aca="false">'1. Raw Data'!E28</f>
        <v>0.3792</v>
      </c>
      <c r="E29" s="6" t="n">
        <f aca="false">'1. Raw Data'!F28</f>
        <v>0.2513</v>
      </c>
      <c r="F29" s="6" t="n">
        <f aca="false">'1. Raw Data'!I28</f>
        <v>0.0312</v>
      </c>
      <c r="G29" s="6" t="n">
        <f aca="false">D29-E29</f>
        <v>0.1279</v>
      </c>
      <c r="H29" s="6" t="n">
        <f aca="false">C29-C28</f>
        <v>0.018</v>
      </c>
      <c r="I29" s="6" t="n">
        <f aca="false">'1. Raw Data'!G28-'1. Raw Data'!H28</f>
        <v>0.0178</v>
      </c>
      <c r="J29" s="5" t="str">
        <f aca="false">IF(C29&lt;0.2,"Moderate",IF(C29&lt;0.3,"High","Severe"))</f>
        <v>Severe</v>
      </c>
    </row>
    <row r="30" customFormat="false" ht="15" hidden="false" customHeight="false" outlineLevel="0" collapsed="false">
      <c r="A30" s="9" t="str">
        <f aca="false">'1. Raw Data'!C29</f>
        <v>Mar-24</v>
      </c>
      <c r="B30" s="8" t="n">
        <f aca="false">'1. Raw Data'!B29</f>
        <v>2024</v>
      </c>
      <c r="C30" s="10" t="n">
        <f aca="false">'1. Raw Data'!D29</f>
        <v>0.332</v>
      </c>
      <c r="D30" s="10" t="n">
        <f aca="false">'1. Raw Data'!E29</f>
        <v>0.4001</v>
      </c>
      <c r="E30" s="10" t="n">
        <f aca="false">'1. Raw Data'!F29</f>
        <v>0.259</v>
      </c>
      <c r="F30" s="10" t="n">
        <f aca="false">'1. Raw Data'!I29</f>
        <v>0.0302</v>
      </c>
      <c r="G30" s="10" t="n">
        <f aca="false">D30-E30</f>
        <v>0.1411</v>
      </c>
      <c r="H30" s="10" t="n">
        <f aca="false">C30-C29</f>
        <v>0.015</v>
      </c>
      <c r="I30" s="10" t="n">
        <f aca="false">'1. Raw Data'!G29-'1. Raw Data'!H29</f>
        <v>0.0188</v>
      </c>
      <c r="J30" s="9" t="str">
        <f aca="false">IF(C30&lt;0.2,"Moderate",IF(C30&lt;0.3,"High","Severe"))</f>
        <v>Severe</v>
      </c>
    </row>
    <row r="31" customFormat="false" ht="15" hidden="false" customHeight="false" outlineLevel="0" collapsed="false">
      <c r="A31" s="5" t="str">
        <f aca="false">'1. Raw Data'!C30</f>
        <v>Apr-24</v>
      </c>
      <c r="B31" s="4" t="n">
        <f aca="false">'1. Raw Data'!B30</f>
        <v>2024</v>
      </c>
      <c r="C31" s="6" t="n">
        <f aca="false">'1. Raw Data'!D30</f>
        <v>0.3369</v>
      </c>
      <c r="D31" s="6" t="n">
        <f aca="false">'1. Raw Data'!E30</f>
        <v>0.4053</v>
      </c>
      <c r="E31" s="6" t="n">
        <f aca="false">'1. Raw Data'!F30</f>
        <v>0.2684</v>
      </c>
      <c r="F31" s="6" t="n">
        <f aca="false">'1. Raw Data'!I30</f>
        <v>0.0229</v>
      </c>
      <c r="G31" s="6" t="n">
        <f aca="false">D31-E31</f>
        <v>0.1369</v>
      </c>
      <c r="H31" s="6" t="n">
        <f aca="false">C31-C30</f>
        <v>0.00489999999999996</v>
      </c>
      <c r="I31" s="6" t="n">
        <f aca="false">'1. Raw Data'!G30-'1. Raw Data'!H30</f>
        <v>0.0192</v>
      </c>
      <c r="J31" s="5" t="str">
        <f aca="false">IF(C31&lt;0.2,"Moderate",IF(C31&lt;0.3,"High","Severe"))</f>
        <v>Severe</v>
      </c>
    </row>
    <row r="32" customFormat="false" ht="15" hidden="false" customHeight="false" outlineLevel="0" collapsed="false">
      <c r="A32" s="9" t="str">
        <f aca="false">'1. Raw Data'!C31</f>
        <v>May-24</v>
      </c>
      <c r="B32" s="8" t="n">
        <f aca="false">'1. Raw Data'!B31</f>
        <v>2024</v>
      </c>
      <c r="C32" s="10" t="n">
        <f aca="false">'1. Raw Data'!D31</f>
        <v>0.3395</v>
      </c>
      <c r="D32" s="10" t="n">
        <f aca="false">'1. Raw Data'!E31</f>
        <v>0.4066</v>
      </c>
      <c r="E32" s="10" t="n">
        <f aca="false">'1. Raw Data'!F31</f>
        <v>0.2704</v>
      </c>
      <c r="F32" s="10" t="n">
        <f aca="false">'1. Raw Data'!I31</f>
        <v>0.0214</v>
      </c>
      <c r="G32" s="10" t="n">
        <f aca="false">D32-E32</f>
        <v>0.1362</v>
      </c>
      <c r="H32" s="10" t="n">
        <f aca="false">C32-C31</f>
        <v>0.00260000000000005</v>
      </c>
      <c r="I32" s="10" t="n">
        <f aca="false">'1. Raw Data'!G31-'1. Raw Data'!H31</f>
        <v>0.0198999999999999</v>
      </c>
      <c r="J32" s="9" t="str">
        <f aca="false">IF(C32&lt;0.2,"Moderate",IF(C32&lt;0.3,"High","Severe"))</f>
        <v>Severe</v>
      </c>
    </row>
    <row r="33" customFormat="false" ht="15" hidden="false" customHeight="false" outlineLevel="0" collapsed="false">
      <c r="A33" s="5" t="str">
        <f aca="false">'1. Raw Data'!C32</f>
        <v>Jun-24</v>
      </c>
      <c r="B33" s="4" t="n">
        <f aca="false">'1. Raw Data'!B32</f>
        <v>2024</v>
      </c>
      <c r="C33" s="6" t="n">
        <f aca="false">'1. Raw Data'!D32</f>
        <v>0.3419</v>
      </c>
      <c r="D33" s="6" t="n">
        <f aca="false">'1. Raw Data'!E32</f>
        <v>0.4087</v>
      </c>
      <c r="E33" s="6" t="n">
        <f aca="false">'1. Raw Data'!F32</f>
        <v>0.274</v>
      </c>
      <c r="F33" s="6" t="n">
        <f aca="false">'1. Raw Data'!I32</f>
        <v>0.0231</v>
      </c>
      <c r="G33" s="6" t="n">
        <f aca="false">D33-E33</f>
        <v>0.1347</v>
      </c>
      <c r="H33" s="6" t="n">
        <f aca="false">C33-C32</f>
        <v>0.00239999999999996</v>
      </c>
      <c r="I33" s="6" t="n">
        <f aca="false">'1. Raw Data'!G32-'1. Raw Data'!H32</f>
        <v>0.0202</v>
      </c>
      <c r="J33" s="5" t="str">
        <f aca="false">IF(C33&lt;0.2,"Moderate",IF(C33&lt;0.3,"High","Severe"))</f>
        <v>Severe</v>
      </c>
    </row>
    <row r="34" customFormat="false" ht="15" hidden="false" customHeight="false" outlineLevel="0" collapsed="false">
      <c r="A34" s="9" t="str">
        <f aca="false">'1. Raw Data'!C33</f>
        <v>Jul-24</v>
      </c>
      <c r="B34" s="8" t="n">
        <f aca="false">'1. Raw Data'!B33</f>
        <v>2024</v>
      </c>
      <c r="C34" s="10" t="n">
        <f aca="false">'1. Raw Data'!D33</f>
        <v>0.334</v>
      </c>
      <c r="D34" s="10" t="n">
        <f aca="false">'1. Raw Data'!E33</f>
        <v>0.3953</v>
      </c>
      <c r="E34" s="10" t="n">
        <f aca="false">'1. Raw Data'!F33</f>
        <v>0.2747</v>
      </c>
      <c r="F34" s="10" t="n">
        <f aca="false">'1. Raw Data'!I33</f>
        <v>0.0228</v>
      </c>
      <c r="G34" s="10" t="n">
        <f aca="false">D34-E34</f>
        <v>0.1206</v>
      </c>
      <c r="H34" s="10" t="n">
        <f aca="false">C34-C33</f>
        <v>-0.00789999999999996</v>
      </c>
      <c r="I34" s="10" t="n">
        <f aca="false">'1. Raw Data'!G33-'1. Raw Data'!H33</f>
        <v>0.0204</v>
      </c>
      <c r="J34" s="9" t="str">
        <f aca="false">IF(C34&lt;0.2,"Moderate",IF(C34&lt;0.3,"High","Severe"))</f>
        <v>Severe</v>
      </c>
    </row>
    <row r="35" customFormat="false" ht="15" hidden="false" customHeight="false" outlineLevel="0" collapsed="false">
      <c r="A35" s="5" t="str">
        <f aca="false">'1. Raw Data'!C34</f>
        <v>Aug-24</v>
      </c>
      <c r="B35" s="4" t="n">
        <f aca="false">'1. Raw Data'!B34</f>
        <v>2024</v>
      </c>
      <c r="C35" s="6" t="n">
        <f aca="false">'1. Raw Data'!D34</f>
        <v>0.3215</v>
      </c>
      <c r="D35" s="6" t="n">
        <f aca="false">'1. Raw Data'!E34</f>
        <v>0.3752</v>
      </c>
      <c r="E35" s="6" t="n">
        <f aca="false">'1. Raw Data'!F34</f>
        <v>0.2758</v>
      </c>
      <c r="F35" s="6" t="n">
        <f aca="false">'1. Raw Data'!I34</f>
        <v>0.0222</v>
      </c>
      <c r="G35" s="6" t="n">
        <f aca="false">D35-E35</f>
        <v>0.0994</v>
      </c>
      <c r="H35" s="6" t="n">
        <f aca="false">C35-C34</f>
        <v>-0.0125</v>
      </c>
      <c r="I35" s="6" t="n">
        <f aca="false">'1. Raw Data'!G34-'1. Raw Data'!H34</f>
        <v>0.019</v>
      </c>
      <c r="J35" s="5" t="str">
        <f aca="false">IF(C35&lt;0.2,"Moderate",IF(C35&lt;0.3,"High","Severe"))</f>
        <v>Severe</v>
      </c>
    </row>
    <row r="36" customFormat="false" ht="15" hidden="false" customHeight="false" outlineLevel="0" collapsed="false">
      <c r="A36" s="9" t="str">
        <f aca="false">'1. Raw Data'!C35</f>
        <v>Sep-24</v>
      </c>
      <c r="B36" s="8" t="n">
        <f aca="false">'1. Raw Data'!B35</f>
        <v>2024</v>
      </c>
      <c r="C36" s="10" t="n">
        <f aca="false">'1. Raw Data'!D35</f>
        <v>0.327</v>
      </c>
      <c r="D36" s="10" t="n">
        <f aca="false">'1. Raw Data'!E35</f>
        <v>0.3777</v>
      </c>
      <c r="E36" s="10" t="n">
        <f aca="false">'1. Raw Data'!F35</f>
        <v>0.2743</v>
      </c>
      <c r="F36" s="10" t="n">
        <f aca="false">'1. Raw Data'!I35</f>
        <v>0.0252</v>
      </c>
      <c r="G36" s="10" t="n">
        <f aca="false">D36-E36</f>
        <v>0.1034</v>
      </c>
      <c r="H36" s="10" t="n">
        <f aca="false">C36-C35</f>
        <v>0.00550000000000001</v>
      </c>
      <c r="I36" s="10" t="n">
        <f aca="false">'1. Raw Data'!G35-'1. Raw Data'!H35</f>
        <v>0.0198</v>
      </c>
      <c r="J36" s="9" t="str">
        <f aca="false">IF(C36&lt;0.2,"Moderate",IF(C36&lt;0.3,"High","Severe"))</f>
        <v>Severe</v>
      </c>
    </row>
    <row r="37" customFormat="false" ht="15" hidden="false" customHeight="false" outlineLevel="0" collapsed="false">
      <c r="A37" s="5" t="str">
        <f aca="false">'1. Raw Data'!C36</f>
        <v>Oct-24</v>
      </c>
      <c r="B37" s="4" t="n">
        <f aca="false">'1. Raw Data'!B36</f>
        <v>2024</v>
      </c>
      <c r="C37" s="6" t="n">
        <f aca="false">'1. Raw Data'!D36</f>
        <v>0.3388</v>
      </c>
      <c r="D37" s="6" t="n">
        <f aca="false">'1. Raw Data'!E36</f>
        <v>0.3916</v>
      </c>
      <c r="E37" s="6" t="n">
        <f aca="false">'1. Raw Data'!F36</f>
        <v>0.2758</v>
      </c>
      <c r="F37" s="6" t="n">
        <f aca="false">'1. Raw Data'!I36</f>
        <v>0.0334</v>
      </c>
      <c r="G37" s="6" t="n">
        <f aca="false">D37-E37</f>
        <v>0.1158</v>
      </c>
      <c r="H37" s="6" t="n">
        <f aca="false">C37-C36</f>
        <v>0.0118</v>
      </c>
      <c r="I37" s="6" t="n">
        <f aca="false">'1. Raw Data'!G36-'1. Raw Data'!H36</f>
        <v>0.019</v>
      </c>
      <c r="J37" s="5" t="str">
        <f aca="false">IF(C37&lt;0.2,"Moderate",IF(C37&lt;0.3,"High","Severe"))</f>
        <v>Severe</v>
      </c>
    </row>
    <row r="38" customFormat="false" ht="15" hidden="false" customHeight="false" outlineLevel="0" collapsed="false">
      <c r="A38" s="9" t="str">
        <f aca="false">'1. Raw Data'!C37</f>
        <v>Nov-24</v>
      </c>
      <c r="B38" s="8" t="n">
        <f aca="false">'1. Raw Data'!B37</f>
        <v>2024</v>
      </c>
      <c r="C38" s="10" t="n">
        <f aca="false">'1. Raw Data'!D37</f>
        <v>0.346</v>
      </c>
      <c r="D38" s="10" t="n">
        <f aca="false">'1. Raw Data'!E37</f>
        <v>0.3993</v>
      </c>
      <c r="E38" s="10" t="n">
        <f aca="false">'1. Raw Data'!F37</f>
        <v>0.2875</v>
      </c>
      <c r="F38" s="10" t="n">
        <f aca="false">'1. Raw Data'!I37</f>
        <v>0.0264</v>
      </c>
      <c r="G38" s="10" t="n">
        <f aca="false">D38-E38</f>
        <v>0.1118</v>
      </c>
      <c r="H38" s="10" t="n">
        <f aca="false">C38-C37</f>
        <v>0.00719999999999998</v>
      </c>
      <c r="I38" s="10" t="n">
        <f aca="false">'1. Raw Data'!G37-'1. Raw Data'!H37</f>
        <v>0.0188</v>
      </c>
      <c r="J38" s="9" t="str">
        <f aca="false">IF(C38&lt;0.2,"Moderate",IF(C38&lt;0.3,"High","Severe"))</f>
        <v>Severe</v>
      </c>
    </row>
    <row r="39" customFormat="false" ht="15" hidden="false" customHeight="false" outlineLevel="0" collapsed="false">
      <c r="A39" s="5" t="str">
        <f aca="false">'1. Raw Data'!C38</f>
        <v>Dec-24</v>
      </c>
      <c r="B39" s="4" t="n">
        <f aca="false">'1. Raw Data'!B38</f>
        <v>2024</v>
      </c>
      <c r="C39" s="6" t="n">
        <f aca="false">'1. Raw Data'!D38</f>
        <v>0.348</v>
      </c>
      <c r="D39" s="6" t="n">
        <f aca="false">'1. Raw Data'!E38</f>
        <v>0.4</v>
      </c>
      <c r="E39" s="6" t="n">
        <f aca="false">'1. Raw Data'!F38</f>
        <v>0.2928</v>
      </c>
      <c r="F39" s="6" t="n">
        <f aca="false">'1. Raw Data'!I38</f>
        <v>0.0268</v>
      </c>
      <c r="G39" s="6" t="n">
        <f aca="false">D39-E39</f>
        <v>0.1072</v>
      </c>
      <c r="H39" s="6" t="n">
        <f aca="false">C39-C38</f>
        <v>0.002</v>
      </c>
      <c r="I39" s="6" t="n">
        <f aca="false">'1. Raw Data'!G38-'1. Raw Data'!H38</f>
        <v>0.0186</v>
      </c>
      <c r="J39" s="5" t="str">
        <f aca="false">IF(C39&lt;0.2,"Moderate",IF(C39&lt;0.3,"High","Severe"))</f>
        <v>Severe</v>
      </c>
    </row>
  </sheetData>
  <mergeCells count="2">
    <mergeCell ref="A1:J1"/>
    <mergeCell ref="A2:J2"/>
  </mergeCells>
  <conditionalFormatting sqref="J4:J39">
    <cfRule type="cellIs" priority="2" operator="equal" aboveAverage="0" equalAverage="0" bottom="0" percent="0" rank="0" text="" dxfId="0">
      <formula>"Moderate"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"Severe"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5" hidden="false" customHeight="true" outlineLevel="0" collapsed="false">
      <c r="A1" s="14" t="s">
        <v>74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3" t="s">
        <v>2</v>
      </c>
      <c r="B2" s="13" t="s">
        <v>75</v>
      </c>
      <c r="C2" s="13" t="s">
        <v>76</v>
      </c>
      <c r="D2" s="13" t="s">
        <v>77</v>
      </c>
      <c r="E2" s="13" t="s">
        <v>78</v>
      </c>
      <c r="F2" s="13" t="s">
        <v>79</v>
      </c>
    </row>
    <row r="3" customFormat="false" ht="15" hidden="false" customHeight="false" outlineLevel="0" collapsed="false">
      <c r="A3" s="15" t="n">
        <v>2022</v>
      </c>
      <c r="B3" s="6" t="n">
        <v>0.18765</v>
      </c>
      <c r="C3" s="6" t="n">
        <v>0.208066666666667</v>
      </c>
      <c r="D3" s="6" t="n">
        <v>0.159516666666667</v>
      </c>
      <c r="E3" s="6" t="n">
        <v>0.192983333333333</v>
      </c>
      <c r="F3" s="6" t="n">
        <v>0.18315</v>
      </c>
    </row>
    <row r="4" customFormat="false" ht="15" hidden="false" customHeight="false" outlineLevel="0" collapsed="false">
      <c r="A4" s="16" t="n">
        <v>2023</v>
      </c>
      <c r="B4" s="10" t="n">
        <v>0.2452</v>
      </c>
      <c r="C4" s="10" t="n">
        <v>0.277541666666667</v>
      </c>
      <c r="D4" s="10" t="n">
        <v>0.207433333333333</v>
      </c>
      <c r="E4" s="10" t="n">
        <v>0.253558333333333</v>
      </c>
      <c r="F4" s="10" t="n">
        <v>0.237725</v>
      </c>
    </row>
    <row r="5" customFormat="false" ht="15" hidden="false" customHeight="false" outlineLevel="0" collapsed="false">
      <c r="A5" s="15" t="n">
        <v>2024</v>
      </c>
      <c r="B5" s="6" t="n">
        <v>0.3318</v>
      </c>
      <c r="C5" s="6" t="n">
        <v>0.391091666666667</v>
      </c>
      <c r="D5" s="6" t="n">
        <v>0.269991666666667</v>
      </c>
      <c r="E5" s="6" t="n">
        <v>0.3416</v>
      </c>
      <c r="F5" s="6" t="n">
        <v>0.322525</v>
      </c>
    </row>
    <row r="7" customFormat="false" ht="15" hidden="false" customHeight="true" outlineLevel="0" collapsed="false">
      <c r="A7" s="14" t="s">
        <v>80</v>
      </c>
      <c r="B7" s="14"/>
      <c r="C7" s="14"/>
      <c r="D7" s="14"/>
      <c r="E7" s="14"/>
    </row>
    <row r="8" customFormat="false" ht="15" hidden="false" customHeight="false" outlineLevel="0" collapsed="false">
      <c r="A8" s="13" t="s">
        <v>81</v>
      </c>
      <c r="B8" s="13" t="s">
        <v>82</v>
      </c>
      <c r="C8" s="13" t="s">
        <v>83</v>
      </c>
      <c r="D8" s="13" t="s">
        <v>84</v>
      </c>
      <c r="E8" s="13" t="s">
        <v>85</v>
      </c>
    </row>
    <row r="9" customFormat="false" ht="15" hidden="false" customHeight="false" outlineLevel="0" collapsed="false">
      <c r="A9" s="5" t="s">
        <v>86</v>
      </c>
      <c r="B9" s="6" t="n">
        <v>0.348</v>
      </c>
      <c r="C9" s="5" t="s">
        <v>62</v>
      </c>
      <c r="D9" s="6" t="n">
        <v>0.156</v>
      </c>
      <c r="E9" s="5" t="s">
        <v>16</v>
      </c>
    </row>
    <row r="10" customFormat="false" ht="15" hidden="false" customHeight="false" outlineLevel="0" collapsed="false">
      <c r="A10" s="9" t="s">
        <v>87</v>
      </c>
      <c r="B10" s="10" t="n">
        <v>0.4087</v>
      </c>
      <c r="C10" s="9" t="s">
        <v>56</v>
      </c>
      <c r="D10" s="10" t="n">
        <v>0.1711</v>
      </c>
      <c r="E10" s="9" t="s">
        <v>18</v>
      </c>
    </row>
    <row r="11" customFormat="false" ht="15" hidden="false" customHeight="false" outlineLevel="0" collapsed="false">
      <c r="A11" s="5" t="s">
        <v>88</v>
      </c>
      <c r="B11" s="6" t="n">
        <v>0.2928</v>
      </c>
      <c r="C11" s="5" t="s">
        <v>62</v>
      </c>
      <c r="D11" s="6" t="n">
        <v>0.1387</v>
      </c>
      <c r="E11" s="5" t="s">
        <v>16</v>
      </c>
    </row>
    <row r="12" customFormat="false" ht="15" hidden="false" customHeight="false" outlineLevel="0" collapsed="false">
      <c r="A12" s="9" t="s">
        <v>68</v>
      </c>
      <c r="B12" s="10" t="n">
        <v>0.0334</v>
      </c>
      <c r="C12" s="9" t="s">
        <v>60</v>
      </c>
      <c r="D12" s="10" t="n">
        <v>0.0102</v>
      </c>
      <c r="E12" s="9" t="s">
        <v>16</v>
      </c>
    </row>
    <row r="15" customFormat="false" ht="15" hidden="false" customHeight="true" outlineLevel="0" collapsed="false">
      <c r="A15" s="14" t="s">
        <v>89</v>
      </c>
      <c r="B15" s="14"/>
      <c r="C15" s="14"/>
    </row>
    <row r="16" customFormat="false" ht="15" hidden="false" customHeight="false" outlineLevel="0" collapsed="false">
      <c r="A16" s="13" t="s">
        <v>90</v>
      </c>
      <c r="B16" s="13" t="s">
        <v>91</v>
      </c>
      <c r="C16" s="13" t="s">
        <v>92</v>
      </c>
    </row>
    <row r="17" customFormat="false" ht="15" hidden="false" customHeight="false" outlineLevel="0" collapsed="false">
      <c r="A17" s="3" t="s">
        <v>13</v>
      </c>
      <c r="B17" s="6" t="n">
        <v>0.293016666666667</v>
      </c>
      <c r="C17" s="17" t="n">
        <v>1.14961093310665</v>
      </c>
    </row>
    <row r="18" customFormat="false" ht="15" hidden="false" customHeight="false" outlineLevel="0" collapsed="false">
      <c r="A18" s="7" t="s">
        <v>93</v>
      </c>
      <c r="B18" s="10" t="n">
        <v>0.292233333333333</v>
      </c>
      <c r="C18" s="18" t="n">
        <v>1.14653763159616</v>
      </c>
    </row>
    <row r="19" customFormat="false" ht="15" hidden="false" customHeight="false" outlineLevel="0" collapsed="false">
      <c r="A19" s="3" t="s">
        <v>12</v>
      </c>
      <c r="B19" s="6" t="n">
        <v>0.213369444444444</v>
      </c>
      <c r="C19" s="17" t="n">
        <v>0.837125918176072</v>
      </c>
    </row>
    <row r="20" customFormat="false" ht="15" hidden="false" customHeight="false" outlineLevel="0" collapsed="false">
      <c r="A20" s="7" t="s">
        <v>94</v>
      </c>
      <c r="B20" s="10" t="n">
        <v>0.1709</v>
      </c>
      <c r="C20" s="18" t="n">
        <v>0.670502844438632</v>
      </c>
    </row>
    <row r="21" customFormat="false" ht="15" hidden="false" customHeight="false" outlineLevel="0" collapsed="false">
      <c r="A21" s="3" t="s">
        <v>14</v>
      </c>
      <c r="B21" s="6" t="n">
        <v>0.147886111111111</v>
      </c>
      <c r="C21" s="17" t="n">
        <v>0.580210989777458</v>
      </c>
    </row>
    <row r="24" customFormat="false" ht="15" hidden="false" customHeight="true" outlineLevel="0" collapsed="false">
      <c r="A24" s="14" t="s">
        <v>95</v>
      </c>
      <c r="B24" s="14"/>
      <c r="C24" s="14"/>
      <c r="D24" s="14"/>
      <c r="E24" s="14"/>
      <c r="F24" s="14"/>
    </row>
    <row r="25" customFormat="false" ht="27.75" hidden="false" customHeight="true" outlineLevel="0" collapsed="false">
      <c r="A25" s="19" t="s">
        <v>96</v>
      </c>
      <c r="B25" s="19"/>
      <c r="C25" s="19"/>
      <c r="D25" s="19"/>
      <c r="E25" s="19"/>
      <c r="F25" s="19"/>
    </row>
    <row r="26" customFormat="false" ht="27.75" hidden="false" customHeight="true" outlineLevel="0" collapsed="false">
      <c r="A26" s="20" t="s">
        <v>97</v>
      </c>
      <c r="B26" s="20"/>
      <c r="C26" s="20"/>
      <c r="D26" s="20"/>
      <c r="E26" s="20"/>
      <c r="F26" s="20"/>
    </row>
    <row r="27" customFormat="false" ht="27.75" hidden="false" customHeight="true" outlineLevel="0" collapsed="false">
      <c r="A27" s="19" t="s">
        <v>98</v>
      </c>
      <c r="B27" s="19"/>
      <c r="C27" s="19"/>
      <c r="D27" s="19"/>
      <c r="E27" s="19"/>
      <c r="F27" s="19"/>
    </row>
    <row r="28" customFormat="false" ht="27.75" hidden="false" customHeight="true" outlineLevel="0" collapsed="false">
      <c r="A28" s="20" t="s">
        <v>99</v>
      </c>
      <c r="B28" s="20"/>
      <c r="C28" s="20"/>
      <c r="D28" s="20"/>
      <c r="E28" s="20"/>
      <c r="F28" s="20"/>
    </row>
    <row r="29" customFormat="false" ht="27.75" hidden="false" customHeight="true" outlineLevel="0" collapsed="false">
      <c r="A29" s="19" t="s">
        <v>100</v>
      </c>
      <c r="B29" s="19"/>
      <c r="C29" s="19"/>
      <c r="D29" s="19"/>
      <c r="E29" s="19"/>
      <c r="F29" s="19"/>
    </row>
    <row r="30" customFormat="false" ht="27.75" hidden="false" customHeight="true" outlineLevel="0" collapsed="false">
      <c r="A30" s="20" t="s">
        <v>101</v>
      </c>
      <c r="B30" s="20"/>
      <c r="C30" s="20"/>
      <c r="D30" s="20"/>
      <c r="E30" s="20"/>
      <c r="F30" s="20"/>
    </row>
  </sheetData>
  <mergeCells count="10">
    <mergeCell ref="A1:F1"/>
    <mergeCell ref="A7:E7"/>
    <mergeCell ref="A15:C15"/>
    <mergeCell ref="A24:F24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8.5"/>
    <col collapsed="false" customWidth="true" hidden="false" outlineLevel="0" max="27" min="18" style="0" width="0.1"/>
  </cols>
  <sheetData>
    <row r="1" customFormat="false" ht="34.5" hidden="false" customHeight="true" outlineLevel="0" collapsed="false">
      <c r="A1" s="21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R1" s="22" t="s">
        <v>3</v>
      </c>
      <c r="S1" s="22" t="s">
        <v>103</v>
      </c>
      <c r="T1" s="22" t="s">
        <v>104</v>
      </c>
      <c r="U1" s="22" t="s">
        <v>105</v>
      </c>
      <c r="W1" s="22" t="s">
        <v>2</v>
      </c>
      <c r="X1" s="22" t="s">
        <v>75</v>
      </c>
    </row>
    <row r="2" customFormat="false" ht="9.75" hidden="false" customHeight="true" outlineLevel="0" collapsed="false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R2" s="22" t="s">
        <v>16</v>
      </c>
      <c r="S2" s="0" t="n">
        <v>0.156</v>
      </c>
      <c r="T2" s="0" t="n">
        <v>0.1713</v>
      </c>
      <c r="U2" s="0" t="n">
        <v>0.1387</v>
      </c>
      <c r="W2" s="22" t="s">
        <v>106</v>
      </c>
      <c r="X2" s="0" t="n">
        <v>0.18765</v>
      </c>
    </row>
    <row r="3" customFormat="false" ht="18" hidden="false" customHeight="true" outlineLevel="0" collapsed="false">
      <c r="A3" s="23" t="s">
        <v>107</v>
      </c>
      <c r="B3" s="23"/>
      <c r="C3" s="23"/>
      <c r="D3" s="24" t="s">
        <v>108</v>
      </c>
      <c r="E3" s="24"/>
      <c r="F3" s="24"/>
      <c r="G3" s="25" t="s">
        <v>109</v>
      </c>
      <c r="H3" s="25"/>
      <c r="I3" s="25"/>
      <c r="J3" s="26" t="s">
        <v>110</v>
      </c>
      <c r="K3" s="26"/>
      <c r="L3" s="26"/>
      <c r="M3" s="27" t="s">
        <v>111</v>
      </c>
      <c r="N3" s="27"/>
      <c r="O3" s="27"/>
      <c r="R3" s="22" t="s">
        <v>18</v>
      </c>
      <c r="S3" s="0" t="n">
        <v>0.157</v>
      </c>
      <c r="T3" s="0" t="n">
        <v>0.1711</v>
      </c>
      <c r="U3" s="0" t="n">
        <v>0.139</v>
      </c>
      <c r="W3" s="22" t="s">
        <v>112</v>
      </c>
      <c r="X3" s="0" t="n">
        <v>0.2452</v>
      </c>
    </row>
    <row r="4" customFormat="false" ht="27.75" hidden="false" customHeight="true" outlineLevel="0" collapsed="false">
      <c r="A4" s="28" t="s">
        <v>113</v>
      </c>
      <c r="B4" s="28"/>
      <c r="C4" s="28"/>
      <c r="D4" s="29" t="s">
        <v>113</v>
      </c>
      <c r="E4" s="29"/>
      <c r="F4" s="29"/>
      <c r="G4" s="30" t="s">
        <v>114</v>
      </c>
      <c r="H4" s="30"/>
      <c r="I4" s="30"/>
      <c r="J4" s="31" t="s">
        <v>115</v>
      </c>
      <c r="K4" s="31"/>
      <c r="L4" s="31"/>
      <c r="M4" s="32" t="s">
        <v>116</v>
      </c>
      <c r="N4" s="32"/>
      <c r="O4" s="32"/>
      <c r="R4" s="22" t="s">
        <v>20</v>
      </c>
      <c r="S4" s="0" t="n">
        <v>0.1592</v>
      </c>
      <c r="T4" s="0" t="n">
        <v>0.172</v>
      </c>
      <c r="U4" s="0" t="n">
        <v>0.1396</v>
      </c>
      <c r="W4" s="22" t="s">
        <v>117</v>
      </c>
      <c r="X4" s="0" t="n">
        <v>0.3318</v>
      </c>
    </row>
    <row r="5" customFormat="false" ht="15.75" hidden="false" customHeight="true" outlineLevel="0" collapsed="false">
      <c r="A5" s="33" t="s">
        <v>118</v>
      </c>
      <c r="B5" s="33"/>
      <c r="C5" s="33"/>
      <c r="D5" s="34" t="s">
        <v>119</v>
      </c>
      <c r="E5" s="34"/>
      <c r="F5" s="34"/>
      <c r="G5" s="35" t="s">
        <v>120</v>
      </c>
      <c r="H5" s="35"/>
      <c r="I5" s="35"/>
      <c r="J5" s="36" t="s">
        <v>121</v>
      </c>
      <c r="K5" s="36"/>
      <c r="L5" s="36"/>
      <c r="M5" s="37" t="s">
        <v>122</v>
      </c>
      <c r="N5" s="37"/>
      <c r="O5" s="37"/>
      <c r="R5" s="22" t="s">
        <v>22</v>
      </c>
      <c r="S5" s="0" t="n">
        <v>0.1682</v>
      </c>
      <c r="T5" s="0" t="n">
        <v>0.1837</v>
      </c>
      <c r="U5" s="0" t="n">
        <v>0.1418</v>
      </c>
    </row>
    <row r="6" customFormat="false" ht="15" hidden="false" customHeight="false" outlineLevel="0" collapsed="false">
      <c r="R6" s="0" t="s">
        <v>24</v>
      </c>
      <c r="S6" s="0" t="n">
        <v>0.1771</v>
      </c>
      <c r="T6" s="0" t="n">
        <v>0.1919</v>
      </c>
      <c r="U6" s="0" t="n">
        <v>0.1505</v>
      </c>
    </row>
    <row r="7" customFormat="false" ht="15" hidden="false" customHeight="false" outlineLevel="0" collapsed="false">
      <c r="R7" s="0" t="s">
        <v>26</v>
      </c>
      <c r="S7" s="0" t="n">
        <v>0.186</v>
      </c>
      <c r="T7" s="0" t="n">
        <v>0.206</v>
      </c>
      <c r="U7" s="0" t="n">
        <v>0.1575</v>
      </c>
    </row>
    <row r="8" customFormat="false" ht="15" hidden="false" customHeight="false" outlineLevel="0" collapsed="false">
      <c r="R8" s="0" t="s">
        <v>28</v>
      </c>
      <c r="S8" s="0" t="n">
        <v>0.1964</v>
      </c>
      <c r="T8" s="0" t="n">
        <v>0.2202</v>
      </c>
      <c r="U8" s="0" t="n">
        <v>0.1626</v>
      </c>
    </row>
    <row r="9" customFormat="false" ht="15" hidden="false" customHeight="false" outlineLevel="0" collapsed="false">
      <c r="R9" s="0" t="s">
        <v>30</v>
      </c>
      <c r="S9" s="0" t="n">
        <v>0.2052</v>
      </c>
      <c r="T9" s="0" t="n">
        <v>0.2312</v>
      </c>
      <c r="U9" s="0" t="n">
        <v>0.172</v>
      </c>
    </row>
    <row r="10" customFormat="false" ht="15" hidden="false" customHeight="false" outlineLevel="0" collapsed="false">
      <c r="R10" s="0" t="s">
        <v>32</v>
      </c>
      <c r="S10" s="0" t="n">
        <v>0.2077</v>
      </c>
      <c r="T10" s="0" t="n">
        <v>0.2334</v>
      </c>
      <c r="U10" s="0" t="n">
        <v>0.1763</v>
      </c>
    </row>
    <row r="11" customFormat="false" ht="15" hidden="false" customHeight="false" outlineLevel="0" collapsed="false">
      <c r="R11" s="0" t="s">
        <v>34</v>
      </c>
      <c r="S11" s="0" t="n">
        <v>0.2109</v>
      </c>
      <c r="T11" s="0" t="n">
        <v>0.2372</v>
      </c>
      <c r="U11" s="0" t="n">
        <v>0.1776</v>
      </c>
    </row>
    <row r="12" customFormat="false" ht="15" hidden="false" customHeight="false" outlineLevel="0" collapsed="false">
      <c r="R12" s="0" t="s">
        <v>36</v>
      </c>
      <c r="S12" s="0" t="n">
        <v>0.2147</v>
      </c>
      <c r="T12" s="0" t="n">
        <v>0.2413</v>
      </c>
      <c r="U12" s="0" t="n">
        <v>0.1802</v>
      </c>
    </row>
    <row r="13" customFormat="false" ht="15" hidden="false" customHeight="false" outlineLevel="0" collapsed="false">
      <c r="R13" s="0" t="s">
        <v>38</v>
      </c>
      <c r="S13" s="0" t="n">
        <v>0.2134</v>
      </c>
      <c r="T13" s="0" t="n">
        <v>0.2375</v>
      </c>
      <c r="U13" s="0" t="n">
        <v>0.1784</v>
      </c>
    </row>
    <row r="14" customFormat="false" ht="15" hidden="false" customHeight="false" outlineLevel="0" collapsed="false">
      <c r="R14" s="0" t="s">
        <v>39</v>
      </c>
      <c r="S14" s="0" t="n">
        <v>0.2182</v>
      </c>
      <c r="T14" s="0" t="n">
        <v>0.2432</v>
      </c>
      <c r="U14" s="0" t="n">
        <v>0.1884</v>
      </c>
    </row>
    <row r="15" customFormat="false" ht="15" hidden="false" customHeight="false" outlineLevel="0" collapsed="false">
      <c r="R15" s="0" t="s">
        <v>40</v>
      </c>
      <c r="S15" s="0" t="n">
        <v>0.2191</v>
      </c>
      <c r="T15" s="0" t="n">
        <v>0.2435</v>
      </c>
      <c r="U15" s="0" t="n">
        <v>0.1913</v>
      </c>
    </row>
    <row r="16" customFormat="false" ht="15" hidden="false" customHeight="false" outlineLevel="0" collapsed="false">
      <c r="R16" s="0" t="s">
        <v>41</v>
      </c>
      <c r="S16" s="0" t="n">
        <v>0.2204</v>
      </c>
      <c r="T16" s="0" t="n">
        <v>0.2445</v>
      </c>
      <c r="U16" s="0" t="n">
        <v>0.1924</v>
      </c>
    </row>
    <row r="17" customFormat="false" ht="15" hidden="false" customHeight="false" outlineLevel="0" collapsed="false">
      <c r="R17" s="0" t="s">
        <v>42</v>
      </c>
      <c r="S17" s="0" t="n">
        <v>0.2222</v>
      </c>
      <c r="T17" s="0" t="n">
        <v>0.2461</v>
      </c>
      <c r="U17" s="0" t="n">
        <v>0.1954</v>
      </c>
    </row>
    <row r="18" customFormat="false" ht="15" hidden="false" customHeight="false" outlineLevel="0" collapsed="false">
      <c r="R18" s="0" t="s">
        <v>43</v>
      </c>
      <c r="S18" s="0" t="n">
        <v>0.2241</v>
      </c>
      <c r="T18" s="0" t="n">
        <v>0.2482</v>
      </c>
      <c r="U18" s="0" t="n">
        <v>0.1986</v>
      </c>
    </row>
    <row r="19" customFormat="false" ht="15" hidden="false" customHeight="false" outlineLevel="0" collapsed="false">
      <c r="R19" s="0" t="s">
        <v>44</v>
      </c>
      <c r="S19" s="0" t="n">
        <v>0.2279</v>
      </c>
      <c r="T19" s="0" t="n">
        <v>0.2525</v>
      </c>
      <c r="U19" s="0" t="n">
        <v>0.2027</v>
      </c>
    </row>
    <row r="20" customFormat="false" ht="15" hidden="false" customHeight="false" outlineLevel="0" collapsed="false">
      <c r="R20" s="0" t="s">
        <v>45</v>
      </c>
      <c r="S20" s="0" t="n">
        <v>0.2408</v>
      </c>
      <c r="T20" s="0" t="n">
        <v>0.2698</v>
      </c>
      <c r="U20" s="0" t="n">
        <v>0.2047</v>
      </c>
    </row>
    <row r="21" customFormat="false" ht="15" hidden="false" customHeight="false" outlineLevel="0" collapsed="false">
      <c r="R21" s="0" t="s">
        <v>46</v>
      </c>
      <c r="S21" s="0" t="n">
        <v>0.258</v>
      </c>
      <c r="T21" s="0" t="n">
        <v>0.2934</v>
      </c>
      <c r="U21" s="0" t="n">
        <v>0.2149</v>
      </c>
    </row>
    <row r="22" customFormat="false" ht="15" hidden="false" customHeight="false" outlineLevel="0" collapsed="false">
      <c r="R22" s="0" t="s">
        <v>47</v>
      </c>
      <c r="S22" s="0" t="n">
        <v>0.2672</v>
      </c>
      <c r="T22" s="0" t="n">
        <v>0.3064</v>
      </c>
      <c r="U22" s="0" t="n">
        <v>0.2184</v>
      </c>
    </row>
    <row r="23" customFormat="false" ht="15" hidden="false" customHeight="false" outlineLevel="0" collapsed="false">
      <c r="R23" s="0" t="s">
        <v>48</v>
      </c>
      <c r="S23" s="0" t="n">
        <v>0.2733</v>
      </c>
      <c r="T23" s="0" t="n">
        <v>0.3152</v>
      </c>
      <c r="U23" s="0" t="n">
        <v>0.2238</v>
      </c>
    </row>
    <row r="24" customFormat="false" ht="15" hidden="false" customHeight="false" outlineLevel="0" collapsed="false">
      <c r="R24" s="0" t="s">
        <v>49</v>
      </c>
      <c r="S24" s="0" t="n">
        <v>0.282</v>
      </c>
      <c r="T24" s="0" t="n">
        <v>0.3284</v>
      </c>
      <c r="U24" s="0" t="n">
        <v>0.228</v>
      </c>
    </row>
    <row r="25" customFormat="false" ht="15" hidden="false" customHeight="false" outlineLevel="0" collapsed="false">
      <c r="R25" s="0" t="s">
        <v>50</v>
      </c>
      <c r="S25" s="0" t="n">
        <v>0.2892</v>
      </c>
      <c r="T25" s="0" t="n">
        <v>0.3393</v>
      </c>
      <c r="U25" s="0" t="n">
        <v>0.2306</v>
      </c>
    </row>
    <row r="26" customFormat="false" ht="15" hidden="false" customHeight="false" outlineLevel="0" collapsed="false">
      <c r="R26" s="0" t="s">
        <v>51</v>
      </c>
      <c r="S26" s="0" t="n">
        <v>0.299</v>
      </c>
      <c r="T26" s="0" t="n">
        <v>0.3541</v>
      </c>
      <c r="U26" s="0" t="n">
        <v>0.2359</v>
      </c>
    </row>
    <row r="27" customFormat="false" ht="15" hidden="false" customHeight="false" outlineLevel="0" collapsed="false">
      <c r="R27" s="0" t="s">
        <v>52</v>
      </c>
      <c r="S27" s="0" t="n">
        <v>0.317</v>
      </c>
      <c r="T27" s="0" t="n">
        <v>0.3792</v>
      </c>
      <c r="U27" s="0" t="n">
        <v>0.2513</v>
      </c>
    </row>
    <row r="28" customFormat="false" ht="15" hidden="false" customHeight="false" outlineLevel="0" collapsed="false">
      <c r="R28" s="0" t="s">
        <v>53</v>
      </c>
      <c r="S28" s="0" t="n">
        <v>0.332</v>
      </c>
      <c r="T28" s="0" t="n">
        <v>0.4001</v>
      </c>
      <c r="U28" s="0" t="n">
        <v>0.259</v>
      </c>
    </row>
    <row r="29" customFormat="false" ht="15" hidden="false" customHeight="false" outlineLevel="0" collapsed="false">
      <c r="R29" s="0" t="s">
        <v>54</v>
      </c>
      <c r="S29" s="0" t="n">
        <v>0.3369</v>
      </c>
      <c r="T29" s="0" t="n">
        <v>0.4053</v>
      </c>
      <c r="U29" s="0" t="n">
        <v>0.2684</v>
      </c>
    </row>
    <row r="30" customFormat="false" ht="15" hidden="false" customHeight="false" outlineLevel="0" collapsed="false">
      <c r="R30" s="0" t="s">
        <v>55</v>
      </c>
      <c r="S30" s="0" t="n">
        <v>0.3395</v>
      </c>
      <c r="T30" s="0" t="n">
        <v>0.4066</v>
      </c>
      <c r="U30" s="0" t="n">
        <v>0.2704</v>
      </c>
    </row>
    <row r="31" customFormat="false" ht="15" hidden="false" customHeight="false" outlineLevel="0" collapsed="false">
      <c r="R31" s="0" t="s">
        <v>56</v>
      </c>
      <c r="S31" s="0" t="n">
        <v>0.3419</v>
      </c>
      <c r="T31" s="0" t="n">
        <v>0.4087</v>
      </c>
      <c r="U31" s="0" t="n">
        <v>0.274</v>
      </c>
    </row>
    <row r="32" customFormat="false" ht="15" hidden="false" customHeight="false" outlineLevel="0" collapsed="false">
      <c r="R32" s="0" t="s">
        <v>57</v>
      </c>
      <c r="S32" s="0" t="n">
        <v>0.334</v>
      </c>
      <c r="T32" s="0" t="n">
        <v>0.3953</v>
      </c>
      <c r="U32" s="0" t="n">
        <v>0.2747</v>
      </c>
    </row>
    <row r="33" customFormat="false" ht="15" hidden="false" customHeight="false" outlineLevel="0" collapsed="false">
      <c r="R33" s="0" t="s">
        <v>58</v>
      </c>
      <c r="S33" s="0" t="n">
        <v>0.3215</v>
      </c>
      <c r="T33" s="0" t="n">
        <v>0.3752</v>
      </c>
      <c r="U33" s="0" t="n">
        <v>0.2758</v>
      </c>
    </row>
    <row r="34" customFormat="false" ht="15" hidden="false" customHeight="false" outlineLevel="0" collapsed="false">
      <c r="R34" s="0" t="s">
        <v>59</v>
      </c>
      <c r="S34" s="0" t="n">
        <v>0.327</v>
      </c>
      <c r="T34" s="0" t="n">
        <v>0.3777</v>
      </c>
      <c r="U34" s="0" t="n">
        <v>0.2743</v>
      </c>
    </row>
    <row r="35" customFormat="false" ht="15" hidden="false" customHeight="false" outlineLevel="0" collapsed="false">
      <c r="R35" s="0" t="s">
        <v>60</v>
      </c>
      <c r="S35" s="0" t="n">
        <v>0.3388</v>
      </c>
      <c r="T35" s="0" t="n">
        <v>0.3916</v>
      </c>
      <c r="U35" s="0" t="n">
        <v>0.2758</v>
      </c>
    </row>
    <row r="36" customFormat="false" ht="15" hidden="false" customHeight="false" outlineLevel="0" collapsed="false">
      <c r="R36" s="0" t="s">
        <v>61</v>
      </c>
      <c r="S36" s="0" t="n">
        <v>0.346</v>
      </c>
      <c r="T36" s="0" t="n">
        <v>0.3993</v>
      </c>
      <c r="U36" s="0" t="n">
        <v>0.2875</v>
      </c>
    </row>
    <row r="37" customFormat="false" ht="15" hidden="false" customHeight="false" outlineLevel="0" collapsed="false">
      <c r="R37" s="0" t="s">
        <v>62</v>
      </c>
      <c r="S37" s="0" t="n">
        <v>0.348</v>
      </c>
      <c r="T37" s="0" t="n">
        <v>0.4</v>
      </c>
      <c r="U37" s="0" t="n">
        <v>0.2928</v>
      </c>
    </row>
  </sheetData>
  <mergeCells count="16">
    <mergeCell ref="A1:P2"/>
    <mergeCell ref="A3:C3"/>
    <mergeCell ref="D3:F3"/>
    <mergeCell ref="G3:I3"/>
    <mergeCell ref="J3:L3"/>
    <mergeCell ref="M3:O3"/>
    <mergeCell ref="A4:C4"/>
    <mergeCell ref="D4:F4"/>
    <mergeCell ref="G4:I4"/>
    <mergeCell ref="J4:L4"/>
    <mergeCell ref="M4:O4"/>
    <mergeCell ref="A5:C5"/>
    <mergeCell ref="D5:F5"/>
    <mergeCell ref="G5:I5"/>
    <mergeCell ref="J5:L5"/>
    <mergeCell ref="M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2026-05-05T21:41:39Z</dcterms:created>
  <dc:creator>openpyxl</dc:creator>
  <dc:description/>
  <dc:language>en-US</dc:language>
  <cp:lastModifiedBy/>
  <dcterms:modified xsi:type="dcterms:W3CDTF">2026-05-05T21:41:45Z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